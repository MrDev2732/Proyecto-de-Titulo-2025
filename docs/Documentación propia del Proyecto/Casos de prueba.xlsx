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7AA1EA3A-AF64-46A6-ABC6-A36EA825D2A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Portada" sheetId="1" r:id="rId1"/>
    <sheet name="Plan de prueba" sheetId="3" r:id="rId2"/>
    <sheet name="Control" sheetId="4" r:id="rId3"/>
    <sheet name="Datos" sheetId="5" r:id="rId4"/>
    <sheet name="Datos del plan" sheetId="6" state="hidden" r:id="rId5"/>
  </sheets>
  <definedNames>
    <definedName name="_xlnm._FilterDatabase" localSheetId="1" hidden="1">'Plan de prueba'!$A$1:$P$313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6mpzAQtFpj2ITEuMPvi2xHEMxie3UkSR8+CM9uI5mSc="/>
    </ext>
  </extLst>
</workbook>
</file>

<file path=xl/calcChain.xml><?xml version="1.0" encoding="utf-8"?>
<calcChain xmlns="http://schemas.openxmlformats.org/spreadsheetml/2006/main">
  <c r="D10" i="4" l="1"/>
  <c r="C74" i="3"/>
  <c r="F21" i="4"/>
  <c r="F26" i="4" s="1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3" i="3"/>
  <c r="C4" i="3"/>
  <c r="C5" i="3"/>
  <c r="C6" i="3"/>
  <c r="C7" i="3"/>
  <c r="C8" i="3"/>
  <c r="C9" i="3"/>
  <c r="C10" i="3"/>
  <c r="C11" i="3"/>
  <c r="C2" i="3"/>
  <c r="D16" i="4"/>
  <c r="D13" i="4"/>
  <c r="D12" i="4"/>
  <c r="D11" i="4"/>
  <c r="D9" i="4"/>
  <c r="D17" i="4" l="1"/>
</calcChain>
</file>

<file path=xl/sharedStrings.xml><?xml version="1.0" encoding="utf-8"?>
<sst xmlns="http://schemas.openxmlformats.org/spreadsheetml/2006/main" count="1000" uniqueCount="450">
  <si>
    <t xml:space="preserve">Plan de prueba software OSPOS </t>
  </si>
  <si>
    <t>Resultado</t>
  </si>
  <si>
    <t>Bloqueado</t>
  </si>
  <si>
    <t>NOK</t>
  </si>
  <si>
    <t>OK</t>
  </si>
  <si>
    <t>Candidato a automatizar</t>
  </si>
  <si>
    <t>NO</t>
  </si>
  <si>
    <t>SI</t>
  </si>
  <si>
    <t xml:space="preserve"> </t>
  </si>
  <si>
    <t>Nombre de la prueba</t>
  </si>
  <si>
    <t>Tipo</t>
  </si>
  <si>
    <t>Resultado esperado</t>
  </si>
  <si>
    <t>Pre condicion</t>
  </si>
  <si>
    <t>Resultado obtenido</t>
  </si>
  <si>
    <t>Datos de prueba</t>
  </si>
  <si>
    <t>Modulo a probar</t>
  </si>
  <si>
    <t>Criterios de aceptacion</t>
  </si>
  <si>
    <t>Estrategia</t>
  </si>
  <si>
    <t>Responsable ejecución</t>
  </si>
  <si>
    <t>Funcional</t>
  </si>
  <si>
    <t>Caja Negra</t>
  </si>
  <si>
    <t>Caja Blanca</t>
  </si>
  <si>
    <t>No ejecutado</t>
  </si>
  <si>
    <t>End to End</t>
  </si>
  <si>
    <t>Casos</t>
  </si>
  <si>
    <t>Obsoleto</t>
  </si>
  <si>
    <t>Total de casos</t>
  </si>
  <si>
    <t>% de  avance</t>
  </si>
  <si>
    <t>Total casos que ejecuto cada integrante del equipo</t>
  </si>
  <si>
    <t>Total Casos</t>
  </si>
  <si>
    <t>No Funcional</t>
  </si>
  <si>
    <t>Completar</t>
  </si>
  <si>
    <t>Hibrido</t>
  </si>
  <si>
    <t>Baja</t>
  </si>
  <si>
    <t>Media</t>
  </si>
  <si>
    <t>UAT</t>
  </si>
  <si>
    <t>Alta</t>
  </si>
  <si>
    <t>Código</t>
  </si>
  <si>
    <t>Stress</t>
  </si>
  <si>
    <t>Rendimiento</t>
  </si>
  <si>
    <t>Carga</t>
  </si>
  <si>
    <t>MTC</t>
  </si>
  <si>
    <t>ID</t>
  </si>
  <si>
    <t>Inicio de sesión exitoso con credenciales válidas.</t>
  </si>
  <si>
    <t>El usuario ingresa a la página de inicio.</t>
  </si>
  <si>
    <t>Usuario activo y credenciales correctas.</t>
  </si>
  <si>
    <t>Se accede al sistema con éxito.</t>
  </si>
  <si>
    <t>Login</t>
  </si>
  <si>
    <t>El sistema debe permitir el acceso solo a usuarios con credenciales válidas y activas.</t>
  </si>
  <si>
    <t>Sí</t>
  </si>
  <si>
    <t>Daniel Reyes</t>
  </si>
  <si>
    <t>Intento de login con usuario válido y contraseña inválida.</t>
  </si>
  <si>
    <t>Muestra un mensaje de error: "Error de Autenticación
Email o contraseña incorrectos"</t>
  </si>
  <si>
    <t>Usuario activo y contraseña incorrecta.</t>
  </si>
  <si>
    <t>Se muestra un error: "Error de Autenticación
Email o contraseña incorrectos", y el acceso es denegado.</t>
  </si>
  <si>
    <t>El sistema debe rechazar el acceso si la contraseña no coincide.</t>
  </si>
  <si>
    <t>Intento de login con usuario inválido y contraseña válida.</t>
  </si>
  <si>
    <t>Muestra un mensaje de error: "Ingresa un email válido".</t>
  </si>
  <si>
    <t>Usuario inexistente.</t>
  </si>
  <si>
    <t>Se muestra un error:"Ingresa un email válido", y el acceso es denegado.</t>
  </si>
  <si>
    <t>Usuario: no_existe@gmail.com, Contraseña: Paralelogramo02!</t>
  </si>
  <si>
    <t>El sistema debe rechazar el acceso si el nombre de usuario no existe.</t>
  </si>
  <si>
    <t>Intento de login dejando ambos campos vacíos.</t>
  </si>
  <si>
    <t>Campos vacíos.</t>
  </si>
  <si>
    <t>Usuario: [vacío], Contraseña: [vacío]</t>
  </si>
  <si>
    <t>El sistema debe validar que los campos de usuario y contraseña no estén vacíos.</t>
  </si>
  <si>
    <t>Intento de login con solo el campo Usuario vacío.</t>
  </si>
  <si>
    <t>Campo Usuario vacío.</t>
  </si>
  <si>
    <t>Usuario: [vacío], Contraseña: asdasdasd123$</t>
  </si>
  <si>
    <t>El sistema debe solicitar el nombre de usuario.</t>
  </si>
  <si>
    <t>Intento de login con solo el campo Contraseña vacío.</t>
  </si>
  <si>
    <t>Campo Contraseña vacío.</t>
  </si>
  <si>
    <t>Usuario: vin.orellana@duocuc.cl, Contraseña: [vacío]</t>
  </si>
  <si>
    <t>El sistema debe solicitar la contraseña.</t>
  </si>
  <si>
    <t>Verificación de que la contraseña se oculte al escribir.</t>
  </si>
  <si>
    <t>La contraseña debe mostrarse como puntos o asteriscos (*).</t>
  </si>
  <si>
    <t>Ninguna.</t>
  </si>
  <si>
    <t>Los caracteres de la contraseña se enmascaran correctamente.</t>
  </si>
  <si>
    <t>Usuario: usuario_valido, Contraseña: clave122</t>
  </si>
  <si>
    <t>El campo contraseña debe ocultar los caracteres para proteger la información.</t>
  </si>
  <si>
    <t>No</t>
  </si>
  <si>
    <t>Uso de la función "Olvidé mi contraseña" o "Recuperar contraseña".</t>
  </si>
  <si>
    <t>El sistema redirige al formulario de recuperación de contraseña pidiendo al usuario ingresar un correo valido.</t>
  </si>
  <si>
    <t>Usuario existente.</t>
  </si>
  <si>
    <t>Se inicia el flujo de recuperación de contraseña.</t>
  </si>
  <si>
    <t>Email: dan.reyesh@duocuc.cl</t>
  </si>
  <si>
    <t>El sistema debe ofrecer una forma de restablecer la contraseña a través de un mecanismo seguro.</t>
  </si>
  <si>
    <t>Acceso a la página de inicio sin haber hecho login (acceso directo a la URL).</t>
  </si>
  <si>
    <t>Seguridad</t>
  </si>
  <si>
    <t>El sistema debe redirigir a la página de Login.</t>
  </si>
  <si>
    <t>Sesión no iniciada.</t>
  </si>
  <si>
    <t>El acceso es denegado y se obliga a iniciar sesión.</t>
  </si>
  <si>
    <t>Intentar navegar directamente a: "http://localhost:4200/resident-dashboard"</t>
  </si>
  <si>
    <t>La aplicación debe proteger todas las rutas que requieren autenticación.</t>
  </si>
  <si>
    <t>Solicitud de recuperación con Email registrado y activo.</t>
  </si>
  <si>
    <t>El sistema pide un codigo de validación de 6 digitos el cual es enviado directamente al email ingresado.</t>
  </si>
  <si>
    <t>Cuenta activa y Email válido.</t>
  </si>
  <si>
    <t>El usuario recibe el email con el codigo de validación de 6 digitos.</t>
  </si>
  <si>
    <t>Recuperar Contraseña</t>
  </si>
  <si>
    <t>El sistema debe confirmar el envío del enlace de restablecimiento al email del usuario.</t>
  </si>
  <si>
    <t>Solicitud de recuperación con Email no registrado en el sistema.</t>
  </si>
  <si>
    <t>El sistema debe mostrar un mensaje de error: "Usuario no registrado".</t>
  </si>
  <si>
    <t>Email no registrado.</t>
  </si>
  <si>
    <t>El sistema manda el codigo de 6 digitos a un usuario no registrado en el sistema.</t>
  </si>
  <si>
    <t>Email: daniel.reyesh01@gmail.com</t>
  </si>
  <si>
    <t>El sistema restringir el acceso a usuarios no registrados en el sistema por motivos de seguridad.</t>
  </si>
  <si>
    <t>Solicitud de recuperación con formato de email inválido.</t>
  </si>
  <si>
    <t>El sistema muestra un mensaje de error: "Ingrese un email válido".</t>
  </si>
  <si>
    <t xml:space="preserve">Email con formato incorrecto </t>
  </si>
  <si>
    <t>El sistema manda el codigo de 6 digitos a un usuario con formato de correo inválido en el sistema.</t>
  </si>
  <si>
    <t>Email: usuario1@gimail.com</t>
  </si>
  <si>
    <t>El sistema debe validar el formato del email antes de procesar la solicitud.</t>
  </si>
  <si>
    <t>Uso de codigo de 6 digitos de restablecimiento vencido o expirado.</t>
  </si>
  <si>
    <t>El sistema debe permitir un maximo de tiempo limite de 15 minutos para el código de 6 digitos.</t>
  </si>
  <si>
    <t>Código de restablecimiento generado con limite maximo de 15 minutos.</t>
  </si>
  <si>
    <t>El sistema muestra un mensaje de error: "Error
Código inválido o expirado".</t>
  </si>
  <si>
    <t>Código de 6 digitos con tiempo limite expirado.</t>
  </si>
  <si>
    <t>Restablecer Contraseña</t>
  </si>
  <si>
    <t>El enlace de restablecimiento debe tener un tiempo de vida limitado por seguridad.</t>
  </si>
  <si>
    <t>Definición de una nueva contraseña que no cumple con las reglas de complejidad.</t>
  </si>
  <si>
    <t>Usabilidad</t>
  </si>
  <si>
    <t>El sistema muestra un mensaje de error: "La contraseña debe tener al menos 8 caracteres."</t>
  </si>
  <si>
    <t>Acceso al formulario de nueva contraseña.</t>
  </si>
  <si>
    <t>Nueva Contraseña: asd</t>
  </si>
  <si>
    <t>El sistema debe forzar al usuario a seguir las reglas de contraseña.</t>
  </si>
  <si>
    <t>Nueva Contraseña y Confirmar Contraseña no coinciden.</t>
  </si>
  <si>
    <t>Muestra un mensaje de error: "Las contraseñas no coinciden".</t>
  </si>
  <si>
    <t>Nueva Contraseña: Contraseña123!,Confirmar Contraseña: Contraseña321!</t>
  </si>
  <si>
    <t>Ambos campos deben ser idénticos para confirmar la intención del usuario.</t>
  </si>
  <si>
    <t>Navegación con la tecla Tab en el formulario de solicitud de Email.</t>
  </si>
  <si>
    <t>El foco debe moverse secuencialmente entre el campo Email y el botón "Enviar Código".</t>
  </si>
  <si>
    <t>El orden de tabulación es correcto.</t>
  </si>
  <si>
    <t>Uso de la tecla Tab.</t>
  </si>
  <si>
    <t>La interfaz debe ser completamente navegable y accesible con teclado.</t>
  </si>
  <si>
    <t>Registro exitoso con datos válidos y obligatorios.</t>
  </si>
  <si>
    <t>La cuenta es creada, el usuario es redirigido a la pagina principal: "Portal del Residente".</t>
  </si>
  <si>
    <t>Todos los campos obligatorios completados correctamente.</t>
  </si>
  <si>
    <t>Nombre: Ana Pérez, Email: ana.perez@test.com, Contraseña: Secure2025!</t>
  </si>
  <si>
    <t>Registro</t>
  </si>
  <si>
    <t>El sistema debe permitir la creación de cuentas con datos que cumplan todas las validaciones.</t>
  </si>
  <si>
    <t>Intento de registro con un Email ya existente.</t>
  </si>
  <si>
    <t>Muestra un mensaje de error: "Ya existe un usuario registrado con este email".</t>
  </si>
  <si>
    <t>Email ya presente en la base de datos.</t>
  </si>
  <si>
    <t>El sistema deniega el registro y avisa al usuario.</t>
  </si>
  <si>
    <t>Email: usuario.existente@test.com</t>
  </si>
  <si>
    <t>El email debe ser único para cada usuario en el sistema.</t>
  </si>
  <si>
    <t>Intento de registro con campos opcionales vacíos.</t>
  </si>
  <si>
    <t>La cuenta se crea correctamente, ignorando los campos opcionales vacíos.</t>
  </si>
  <si>
    <t>Campo opcional de: "Documentos Adicionales (Opcional)", dejado en blanco.</t>
  </si>
  <si>
    <t>El sistema completa el registro con éxito.</t>
  </si>
  <si>
    <t>Municipalidad: "Municipalidad de ejemplo", Comunidad: "Junta de Vecinos Villa Ejemplo", Email: "dan.reyesh@duocuc.cl", Nombre Completo: "Daniel Reyes", Rut: "18.761.375-2", Dirección: "Santa Amanda 890", Carnet de identidad(frontal): "Foto compartida", Carnet de Identidad(trasero): "Foto compartida", Cuenta de Servicios(Luz, Agua, Gas): "Foto compartida", Documentos Adicional (Opcional): "[vacio]".</t>
  </si>
  <si>
    <t>Los campos no obligatorios no deben impedir la creación de la cuenta.</t>
  </si>
  <si>
    <t>Validación de reglas de complejidad de la contraseña.</t>
  </si>
  <si>
    <t>Muestra un mensaje de error detallado al no cumplir alguna regla (ej. "Mínimo 8 caracteres").</t>
  </si>
  <si>
    <t>Contraseña débil (ej. 123456).</t>
  </si>
  <si>
    <t>El registro es rechazado con una alerta.</t>
  </si>
  <si>
    <t>Contraseña: pass</t>
  </si>
  <si>
    <t>La contraseña debe cumplir con los requisitos mínimos de seguridad.</t>
  </si>
  <si>
    <t>Validación del campo Nombre (longitud máxima).</t>
  </si>
  <si>
    <t>Muestra un mensaje de error al exceder la longitud máxima permitida de 100 caracteres: "Nombre no válido".</t>
  </si>
  <si>
    <t>Nombre con una cadena de texto muy larga.</t>
  </si>
  <si>
    <t>El sistema permite ingresar un numero ilimitado de caracteres en el campo de "Nombre Completo".</t>
  </si>
  <si>
    <t>Nombre Completo: "AAAAAAAAAAAAAAAAAAAAAAAAAAAAAAAAAAAAAAAAAAAAAAAAAAAAAAAAAAAAAAAAAAAAAAAAAAAAAAAAAAAAAAAAAAAAAAAAAAAAAAAAAAAAAAAAAAAAAAAAAAAAAAAAAAAAAAAAAAAAAAAAAAAAAA".</t>
  </si>
  <si>
    <t>El sistema debe limitar la longitud de las entradas para prevenir problemas de base de datos.</t>
  </si>
  <si>
    <t>Intento de registro sin aceptar los Términos y Condiciones.</t>
  </si>
  <si>
    <t>Muestra un mensaje de error: "Debe aceptar los Términos y Condiciones".</t>
  </si>
  <si>
    <t>Casilla de Términos y Condiciones sin marcar.</t>
  </si>
  <si>
    <t>El botón de registro se desactiva o se muestra la alerta.</t>
  </si>
  <si>
    <t>Ninguno (solo casilla sin marcar).</t>
  </si>
  <si>
    <t>El registro debe requerir la aceptación explícita de las políticas del servicio.</t>
  </si>
  <si>
    <t>Navegación y etiquetas en el formulario de registro.</t>
  </si>
  <si>
    <t>Todos los placeholders y etiquetas de los campos deben ser visibles y claros.</t>
  </si>
  <si>
    <t>El formulario es legible y fácil de entender.</t>
  </si>
  <si>
    <t>Uso de la tecla Tab y verificación visual.</t>
  </si>
  <si>
    <t>El formulario debe ser accesible y proporcionar una guía clara al usuario.</t>
  </si>
  <si>
    <t>Validación de Email (formato) en el lado del cliente y servidor.</t>
  </si>
  <si>
    <t>Muestra una alerta en el formulario de registro en el campo de Email: "Email no válido".</t>
  </si>
  <si>
    <t>Email sin @ ni dominio.</t>
  </si>
  <si>
    <t>Email: registroinvalido</t>
  </si>
  <si>
    <t>El campo de email debe aceptar solo direcciones con el formato RFC 5322 estándar.</t>
  </si>
  <si>
    <t>Caracteres especiales válidos en el campo Nombre/Apellido.</t>
  </si>
  <si>
    <t>El registro es exitoso, aceptando caracteres como tildes o ñ.</t>
  </si>
  <si>
    <t>Uso de caracteres específicos del idioma.</t>
  </si>
  <si>
    <t>Nombre: José Andrés Yañez</t>
  </si>
  <si>
    <t>El sistema debe manejar correctamente los caracteres Unicode comunes en nombres y apellidos.</t>
  </si>
  <si>
    <t>Solicitud de Certificado de Residencia con Usuario logeado</t>
  </si>
  <si>
    <t>El sistema emite el certificado de residencia exitosamente al hacer click en: "Descargar Certificado".</t>
  </si>
  <si>
    <t>Usuario registrado previamente y logeado.</t>
  </si>
  <si>
    <t>Click en: "Descargar Certificado".</t>
  </si>
  <si>
    <t>Certificados</t>
  </si>
  <si>
    <t>El sistema debe emitir el certificado correspondiente al vecino registrado actualmente.</t>
  </si>
  <si>
    <t>Búsqueda exitosa por nombre de solicitante.</t>
  </si>
  <si>
    <t>La tabla de solicitudes debe filtrar y mostrar solo las solicitudes que coincidan con el nombre buscado.</t>
  </si>
  <si>
    <t>Múltiples solicitudes con nombres distintos.</t>
  </si>
  <si>
    <t>La tabla muestra solo las solicitudes que coinciden con el nombre ingresado "Daniel Reyes".</t>
  </si>
  <si>
    <t>Término de búsqueda: Daniel Reyes</t>
  </si>
  <si>
    <t>Gestión de Solicitudes</t>
  </si>
  <si>
    <t>La función de búsqueda debe filtrar la lista por el campo SOLICITANTE.</t>
  </si>
  <si>
    <t xml:space="preserve">Búsqueda por RUT </t>
  </si>
  <si>
    <t>La tabla debe mostrar la solicitud cuyo RUT coincide con el término de búsqueda.</t>
  </si>
  <si>
    <t>Solicitudes registradas con RUT.</t>
  </si>
  <si>
    <t>La tabla se filtra correctamente por el campo RUT ingresado "18761375-2".</t>
  </si>
  <si>
    <t>Término de búsqueda: 18761375</t>
  </si>
  <si>
    <t>El campo de búsqueda debe permitir la búsqueda por el identificador único (RUT).</t>
  </si>
  <si>
    <t>Filtro por estado "Pendiente".</t>
  </si>
  <si>
    <t>La tabla solo debe mostrar solicitudes cuyo Estado sea Pendiente, y el contador debe reflejar el número correcto de solicitudes pendientes.</t>
  </si>
  <si>
    <t>Múltiples solicitudes en diferentes estados.</t>
  </si>
  <si>
    <t>Se filtra y se muestran solo las solicitudes pendientes.</t>
  </si>
  <si>
    <t>Filtro: Pendiente</t>
  </si>
  <si>
    <t>El filtro de estados debe funcionar correctamente para categorizar las tareas del administrador.</t>
  </si>
  <si>
    <t>Aprobación exitosa de una solicitud pendiente.</t>
  </si>
  <si>
    <t>El estado de la solicitud cambia de Pendiente a Aprobado, la fila se actualiza y se registra la fecha de decisión.</t>
  </si>
  <si>
    <t>Solicitud en estado "Pendiente" sin acción previa.</t>
  </si>
  <si>
    <t>Hacer click en "Aprobar" de la solicitud pendiente de "Daniel Reyes".</t>
  </si>
  <si>
    <t>El sistema debe permitir al administrador cambiar el estado de la solicitud, afectando el acceso del usuario.</t>
  </si>
  <si>
    <t>Rechazo exitoso de una solicitud pendiente.</t>
  </si>
  <si>
    <t>El sistema primero debe pedir una nota de rechazo obligatoria antes de aprobar la solicitud.</t>
  </si>
  <si>
    <t>Solicitud en estado "Pendiente".</t>
  </si>
  <si>
    <t>El sistema primero pide una nota de rechazo obligatoria antes de aprobar la solicitud.</t>
  </si>
  <si>
    <t>Hacer click en "Rechazar" de la solicitud pendiente de "Daniel Reyes".</t>
  </si>
  <si>
    <t>Debe existir un mecanismo para rechazar solicitudes que no cumplen con los requisitos.</t>
  </si>
  <si>
    <t>Intento de realizar la acción "Aprobar" sobre una solicitud ya "Aprobada".</t>
  </si>
  <si>
    <t>El sistema no debe permitir la acción; el botón "Aprobar" no debe estar visible o debe estar deshabilitado.</t>
  </si>
  <si>
    <t>Solicitud en estado "Aprobado".</t>
  </si>
  <si>
    <t>La acción es imposible o se ignora con un mensaje de advertencia.</t>
  </si>
  <si>
    <t>Solicitud ID: Aprobada de Daniel Reyes</t>
  </si>
  <si>
    <t>Las acciones de Aprobación/Rechazo solo son válidas para solicitudes Pendientes.</t>
  </si>
  <si>
    <t>Visualización de Documentos adjuntos.</t>
  </si>
  <si>
    <t>Al hacer clic en el botón "Ver" en la columna "DOCUMENTOS", se abre una vista previa o se inicia la descarga de los 3 archivos.</t>
  </si>
  <si>
    <t>Solicitud con archivos adjuntos.</t>
  </si>
  <si>
    <t>Los documentos se abren o se descargan correctamente.</t>
  </si>
  <si>
    <t>Botón: Ver</t>
  </si>
  <si>
    <t>El administrador debe poder revisar los documentos de soporte antes de tomar una decisión.</t>
  </si>
  <si>
    <t>Verificación de la actualización de la lista al usar el botón "Refrescar".</t>
  </si>
  <si>
    <t>La lista debe actualizarse trayendo los datos más recientes del servidor, incluyendo solicitudes nuevas o cambios de estado hechos por otro administrador.</t>
  </si>
  <si>
    <t>Otra solicitud enviada recientemente o un cambio de estado en la base de datos.</t>
  </si>
  <si>
    <t>La lista se recarga y muestra los datos actuales.</t>
  </si>
  <si>
    <t>Botón: Refrescar</t>
  </si>
  <si>
    <t>La lista debe ser fácil de actualizar para garantizar que el administrador trabaja con datos actuales.</t>
  </si>
  <si>
    <t>Búsqueda por email (incompleto).</t>
  </si>
  <si>
    <t>La tabla debe filtrar y mostrar la solicitud cuyo email coincida parcialmente con el término de búsqueda.</t>
  </si>
  <si>
    <t>Solicitudes con email visible.</t>
  </si>
  <si>
    <t>El filtrado funciona correctamente usando parte de la dirección de correo.</t>
  </si>
  <si>
    <t>Término de búsqueda: duocuc.cl</t>
  </si>
  <si>
    <t>La búsqueda debe ser flexible y permitir la coincidencia parcial en los campos principales.</t>
  </si>
  <si>
    <t>Validación de Roles (Restricción de Acceso a Acciones).</t>
  </si>
  <si>
    <t>Si el usuario logueado no tiene permisos de Administrador (ej. es solo un "Lector"), las acciones de Aprobar y Rechazar no deben ser visibles o deben estar deshabilitadas.</t>
  </si>
  <si>
    <t>Login con un usuario que tiene el rol de Lector (no Administrador).</t>
  </si>
  <si>
    <t>Las opciones de acción no aparecen en la columna "ACCIONES".</t>
  </si>
  <si>
    <t>Usuario: vin.orellana (Asumiendo que no es el rol de prueba)</t>
  </si>
  <si>
    <t>Las acciones críticas del sistema (Aprobar/Rechazar) deben estar restringidas por roles.</t>
  </si>
  <si>
    <t>Descarga exitosa del documento Carnet (Frontal).</t>
  </si>
  <si>
    <t>Al hacer clic en el botón "Descargar", el documento (JPG) debe descargarse correctamente en la máquina del administrador.</t>
  </si>
  <si>
    <t>Solicitud con archivos adjuntos disponibles.</t>
  </si>
  <si>
    <t>El archivo se descarga en formato JPG y en alta resolución.</t>
  </si>
  <si>
    <t>Botón: Descargar (Carnet Frontal)</t>
  </si>
  <si>
    <t>Solicitud de Registro (Detalle)</t>
  </si>
  <si>
    <t>El sistema debe permitir la descarga individual de cada documento adjunto.</t>
  </si>
  <si>
    <t>Descarga exitosa del documento de Cuenta de Servicios (PDF).</t>
  </si>
  <si>
    <t>Al hacer clic en "Descargar" en el archivo PDF, se debe iniciar la descarga o abrir la vista previa en el navegador.</t>
  </si>
  <si>
    <t>Solicitud con archivo PDF adjunto.</t>
  </si>
  <si>
    <t>El archivo PDF se descarga correctamente.</t>
  </si>
  <si>
    <t>Botón: Descargar (Cuenta Servicios)</t>
  </si>
  <si>
    <t>El sistema debe manejar correctamente la descarga de diferentes tipos de archivo (JPG, PDF).</t>
  </si>
  <si>
    <t>Verificación de integridad y calidad de la imagen del Carnet.</t>
  </si>
  <si>
    <t>Funcional/Usabilidad</t>
  </si>
  <si>
    <t>La imagen descargada del Carnet (Frontal/Trasero) debe ser legible, de alta resolución y corresponder al documento subido.</t>
  </si>
  <si>
    <t>Descarga exitosa de Carnet Frontal.</t>
  </si>
  <si>
    <t>La imagen descargada del Carnet (Frontal/Trasero) es legible, de alta resolución y corresponde al documento subido.</t>
  </si>
  <si>
    <t>Documento: Carnet</t>
  </si>
  <si>
    <t>La calidad de la imagen debe ser suficiente para la verificación de identidad.</t>
  </si>
  <si>
    <t>Verificación de la coincidencia de datos (RUT y Dirección).</t>
  </si>
  <si>
    <t>El RUT mostrado en la sección "Información Personal" debe coincidir con el RUT visible en la imagen del Carnet.</t>
  </si>
  <si>
    <t>Solicitud con datos cargados y documentos visibles.</t>
  </si>
  <si>
    <t>Los datos de texto coinciden con la evidencia de imagen.</t>
  </si>
  <si>
    <t>RUT: 18761375-2</t>
  </si>
  <si>
    <t>Los datos de texto deben reflejar la información presente en los documentos de identidad.</t>
  </si>
  <si>
    <t>Comprobación de etiquetado correcto del Proveedor de Autenticación.</t>
  </si>
  <si>
    <t>El campo "Proveedor de Autenticación" debe mostrar la plataforma correcta usada para el login/registro (en este caso, Google).</t>
  </si>
  <si>
    <t>Usuario se registró usando autenticación social.</t>
  </si>
  <si>
    <t>Se muestra el logo y nombre correcto (Google).</t>
  </si>
  <si>
    <t>Valor: Google</t>
  </si>
  <si>
    <t>El sistema debe registrar y mostrar la fuente de autenticación del usuario.</t>
  </si>
  <si>
    <t>Verificación de la fecha de Creación y Decisión.</t>
  </si>
  <si>
    <t>Los campos de fecha y hora de Creación y Decisión deben ser coherentes y estar en el formato local correcto.</t>
  </si>
  <si>
    <t>Solicitud Aprobada.</t>
  </si>
  <si>
    <t>Las fechas de Creación y Decisión son válidas (ej. la Decisión es posterior a la Creación).</t>
  </si>
  <si>
    <t>Fechas: 9 de octubre de 2025</t>
  </si>
  <si>
    <t>Los metadatos de la solicitud deben ser exactos para fines de auditoría.</t>
  </si>
  <si>
    <t>Verificación de la visibilidad del Estado de la solicitud.</t>
  </si>
  <si>
    <t>El estado (Aprobada) debe ser prominente, visible y codificado por color verde para fácil lectura.</t>
  </si>
  <si>
    <t>Solicitud ya procesada.</t>
  </si>
  <si>
    <t>La etiqueta "Aprobada" es visible y utiliza el color esperado.</t>
  </si>
  <si>
    <t>Estado: Aprobada</t>
  </si>
  <si>
    <t>El estado debe ser lo primero que el administrador identifique en la vista.</t>
  </si>
  <si>
    <t>Volver al Panel de Gestion de Solcitudes desde la vista de detalle.</t>
  </si>
  <si>
    <t>Al hacer clic en el enlace "Volver al panel principal", el usuario debe ser redirigido a la tabla de gestión de solicitudes.</t>
  </si>
  <si>
    <t>Usuario en la vista de detalle.</t>
  </si>
  <si>
    <t>Se redirige correctamente a la tabla de solicitudes.</t>
  </si>
  <si>
    <t>Enlace: Volver al panel principal</t>
  </si>
  <si>
    <t>La navegación debe ser clara e intuitiva para volver a la pantalla anterior.</t>
  </si>
  <si>
    <t>Aprobación exitosa sin notas de decisión.</t>
  </si>
  <si>
    <t>La solicitud es Aprobada sin escribir notas de decisión(Opcionales).</t>
  </si>
  <si>
    <t>Click en "Aprobar Solicitud".</t>
  </si>
  <si>
    <t>Acciones de Moderación</t>
  </si>
  <si>
    <t>El campo de notas debe ser opcional y no debe bloquear la aprobación.</t>
  </si>
  <si>
    <t>Aprobación exitosa con notas de decisión completas.</t>
  </si>
  <si>
    <t>La solicitud cambia a estado "Aprobada", y las notas se guardan correctamente en el registro de auditoría de la solicitud.</t>
  </si>
  <si>
    <t>La solicitud se aprueba, y las notas son almacenadas.</t>
  </si>
  <si>
    <t>Acción: Aprobar, Notas: Documentación válida y legible.</t>
  </si>
  <si>
    <t>Las notas ingresadas deben ser almacenadas y asociadas permanentemente a la solicitud.</t>
  </si>
  <si>
    <t>Rechazo exitoso con motivo detallado en las notas.</t>
  </si>
  <si>
    <t>La solicitud cambia a estado "Rechazada", el usuario recibe notificación con las notas, y la información de rechazo se registra.</t>
  </si>
  <si>
    <t>La solicitud se rechaza, y las notas se envían al usuario (si aplica) y se auditan.</t>
  </si>
  <si>
    <t>Acción: Rechazar, Notas: RUT ilegible en el Carnet Trasero.</t>
  </si>
  <si>
    <t>El rechazo debe requerir una justificación clara (aunque el campo sea opcional, es una buena práctica forzarlo en el rechazo).</t>
  </si>
  <si>
    <t>Restricción de permisos para usuarios de solo lectura.</t>
  </si>
  <si>
    <t>Si el usuario logueado no tiene permisos de edición/moderación, los botones "Aprobar Solicitud" y "Rechazar Solicitud" deben estar deshabilitados o no ser visibles.</t>
  </si>
  <si>
    <t>Usuario con rol "Lector" (sin permisos de escritura).</t>
  </si>
  <si>
    <t>La sección de botones aparece grisada o no existe.</t>
  </si>
  <si>
    <t>Ninguno.</t>
  </si>
  <si>
    <t>Las acciones críticas de moderación deben estar restringidas solo a roles con la autoridad necesaria.</t>
  </si>
  <si>
    <t>Validación de longitud máxima del campo Notas de Decisión.</t>
  </si>
  <si>
    <t>El sistema debe mostrar un error o truncar la entrada si las notas exceden el límite definido (ej. 500 caracteres).</t>
  </si>
  <si>
    <t>Notas con una cadena de texto muy larga.</t>
  </si>
  <si>
    <t>La aplicación previene que el texto supere el límite.</t>
  </si>
  <si>
    <t>Notas: [550 caracteres]</t>
  </si>
  <si>
    <t>Debe existir un límite de caracteres para evitar sobrecargar la interfaz o la base de datos.</t>
  </si>
  <si>
    <t>Comprobación de que solo una acción (Aprobar o Rechazar) puede ser ejecutada.</t>
  </si>
  <si>
    <t>Al hacer clic en "Aprobar", el botón "Rechazar" (y viceversa) debe quedar inactivo.</t>
  </si>
  <si>
    <t>Al hacer clic en "Aprobar" o  "Rechazar" se cambia el estado del otro boton a inactivo.</t>
  </si>
  <si>
    <t>Click en: "Aprobar Solicitud".</t>
  </si>
  <si>
    <t>El sistema debe garantizar la atomicidad de la decisión.</t>
  </si>
  <si>
    <t>Comprobación de que los botones se deshabilitan tras la acción.</t>
  </si>
  <si>
    <t>Después de hacer clic en "Aprobar Solicitud" o "Rechazar Solicitud", ambos botones deben deshabilitarse.</t>
  </si>
  <si>
    <t>Usuario ya aprobado por el moderador.</t>
  </si>
  <si>
    <t>El sistema debe prevenir el doble procesamiento de la decisión.</t>
  </si>
  <si>
    <t>Cierre de la vista de detalle con la "X" sin guardar la decisión.</t>
  </si>
  <si>
    <t>Al hacer clic en la "X" sin haber clicado Aprobar/Rechazar, la solicitud debe permanecer en estado Pendiente.</t>
  </si>
  <si>
    <t>Notas escritas pero sin clic en la acción.</t>
  </si>
  <si>
    <t>La vista se cierra, y el estado de la solicitud no cambia.</t>
  </si>
  <si>
    <t>Clic en la X superior derecha.</t>
  </si>
  <si>
    <t>El cierre de la ventana sin una acción explícita no debe afectar el estado de la solicitud.</t>
  </si>
  <si>
    <t>Validación de la fecha de decisión en el historial.</t>
  </si>
  <si>
    <t>Tras la aprobación/rechazo, la fecha y hora de la acción debe registrarse con la hora del servidor y ser visible en el historial del usuario/auditoría.</t>
  </si>
  <si>
    <t>Acción de aprobación exitosa.</t>
  </si>
  <si>
    <t>La marca de tiempo es precisa y coherente.</t>
  </si>
  <si>
    <t>Acción: Aprobar</t>
  </si>
  <si>
    <t>El sistema debe auditar la fecha exacta en la que se tomó la decisión.</t>
  </si>
  <si>
    <t>Creación exitosa de un Espacio con datos válidos.</t>
  </si>
  <si>
    <t>El espacio se guarda y aparece en la lista de activos.</t>
  </si>
  <si>
    <t>Usuario Admin logueado en "Nuevo Espacio".</t>
  </si>
  <si>
    <t>Nombre: "Quincho Norte", Capacidad: 20, Estado: Activo.</t>
  </si>
  <si>
    <t>Crear Espacio</t>
  </si>
  <si>
    <t>El sistema debe persistir el nuevo espacio común.</t>
  </si>
  <si>
    <t>Validación de campo "Capacidad" con valor negativo o cero.</t>
  </si>
  <si>
    <t>Muestra error: "La capacidad debe ser mayor a 0".</t>
  </si>
  <si>
    <t>Formulario de Nuevo Espacio abierto.</t>
  </si>
  <si>
    <t>Capacidad: -5 o 0.</t>
  </si>
  <si>
    <t>No se pueden crear espacios sin capacidad real.</t>
  </si>
  <si>
    <t>Intento de guardar Espacio con campos obligatorios vacíos.</t>
  </si>
  <si>
    <t>El sistema marca en rojo los campos "Nombre" y "Capacidad" y no guarda.</t>
  </si>
  <si>
    <t>Formulario limpio.</t>
  </si>
  <si>
    <t>Nombre: [Vacío], Capacidad: [Vacío].</t>
  </si>
  <si>
    <t>Los campos requeridos deben ser obligatorios.</t>
  </si>
  <si>
    <t>Carga de imagen de portada con formato válido (JPG/PNG).</t>
  </si>
  <si>
    <t>La vista previa de la imagen se muestra en el formulario.</t>
  </si>
  <si>
    <t>Formulario abierto.</t>
  </si>
  <si>
    <t>Archivo: "quincho.jpg" (2MB).</t>
  </si>
  <si>
    <t>El sistema debe permitir subir evidencia visual del espacio.</t>
  </si>
  <si>
    <t>Validación de formato de archivo no permitido en imagen.</t>
  </si>
  <si>
    <t>Negativa</t>
  </si>
  <si>
    <t>Muestra error: "Formato no compatible. Solo JPG/PNG".</t>
  </si>
  <si>
    <t>Archivo: "documento.pdf" o "script.exe".</t>
  </si>
  <si>
    <t>Solo se deben admitir imágenes para la portada.</t>
  </si>
  <si>
    <t>Límite de caracteres en "Reglas de uso".</t>
  </si>
  <si>
    <t>El campo no permite escribir más del límite o muestra contador.</t>
  </si>
  <si>
    <t>Texto de reglas &gt; 1000 caracteres.</t>
  </si>
  <si>
    <t>El texto no debe desbordar la base de datos o la UI.</t>
  </si>
  <si>
    <t>Filtrado de reservas por rango de fechas válido.</t>
  </si>
  <si>
    <t>La tabla muestra solo reservas dentro del rango "Desde" y "Hasta".</t>
  </si>
  <si>
    <t>Existen reservas en varias fechas.</t>
  </si>
  <si>
    <t>Desde: 01/11/2024, Hasta: 30/11/2024.</t>
  </si>
  <si>
    <t>Gestión Reservas</t>
  </si>
  <si>
    <t>El administrador debe poder acotar la vista temporalmente.</t>
  </si>
  <si>
    <t>Filtrado de reservas por Estado "Pendiente".</t>
  </si>
  <si>
    <t>La tabla muestra solo filas con Estado = "Pendiente".</t>
  </si>
  <si>
    <t>Existen reservas Aprobadas y Pendientes.</t>
  </si>
  <si>
    <t>Filtro Estado: Pendiente.</t>
  </si>
  <si>
    <t>Facilitar la ubicación de tareas por hacer.</t>
  </si>
  <si>
    <t>Búsqueda de reserva por nombre de Residente.</t>
  </si>
  <si>
    <t>Se listan solo las reservas hechas por el usuario buscado.</t>
  </si>
  <si>
    <t>Múltiples reservas de distintos vecinos.</t>
  </si>
  <si>
    <t>Buscador: "Juan Pérez".</t>
  </si>
  <si>
    <t>Búsqueda rápida por solicitante.</t>
  </si>
  <si>
    <t>Búsqueda de reserva por nombre de Espacio.</t>
  </si>
  <si>
    <t>Se listan solo las reservas asociadas al espacio ingresado.</t>
  </si>
  <si>
    <t>Reservas en Quincho y Sala Multiuso.</t>
  </si>
  <si>
    <t>Buscador: "Sala Multiuso".</t>
  </si>
  <si>
    <t>Búsqueda rápida por recurso.</t>
  </si>
  <si>
    <t>Aprobación de una reserva desde la acción rápida (Check).</t>
  </si>
  <si>
    <t>El estado cambia a "Confirmada" y se notifica al usuario.</t>
  </si>
  <si>
    <t>Reserva en estado "Pendiente".</t>
  </si>
  <si>
    <t>Click en icono "Check" (Aprobar).</t>
  </si>
  <si>
    <t>Cambiar estado de flujo de forma directa.</t>
  </si>
  <si>
    <t>Rechazo de una reserva desde la acción rápida (X).</t>
  </si>
  <si>
    <t>El estado cambia a "Rechazada" y se solicita motivo (si aplica).</t>
  </si>
  <si>
    <t>Click en icono "X" (Rechazar).</t>
  </si>
  <si>
    <t>Permitir denegar uso de espacios.</t>
  </si>
  <si>
    <t>Validación de fechas incoherentes en filtro (Desde &gt; Hasta).</t>
  </si>
  <si>
    <t>El sistema impide seleccionar una fecha "Hasta" anterior a "Desde" o muestra error.</t>
  </si>
  <si>
    <t>Vista de Gestión de Reservas.</t>
  </si>
  <si>
    <t>Desde: 30/11/2024, Hasta: 01/11/2024.</t>
  </si>
  <si>
    <t>Prevenir errores lógicos en la búsqueda.</t>
  </si>
  <si>
    <t>Visualización de detalle de reserva (Icono Ojo).</t>
  </si>
  <si>
    <t>Se abre un modal o página con el detalle completo de la solicitud.</t>
  </si>
  <si>
    <t>Reserva existente en la tabla.</t>
  </si>
  <si>
    <t>Click en icono "Ojo" (Ver detalle).</t>
  </si>
  <si>
    <t>Ver información extendida sin editar.</t>
  </si>
  <si>
    <t>Publicación exitosa de una noticia con todos los campos.</t>
  </si>
  <si>
    <t>La noticia se guarda y aparece en el feed de residentes.</t>
  </si>
  <si>
    <t>Admin logueado en "Nueva Noticia".</t>
  </si>
  <si>
    <t>Título, Categoría, Contenido e Imagen llenos.</t>
  </si>
  <si>
    <t>Crear Noticia</t>
  </si>
  <si>
    <t>Comunicación efectiva con la comunidad.</t>
  </si>
  <si>
    <t>Intento de publicar noticia sin Título.</t>
  </si>
  <si>
    <t>El botón "Publicar" está deshabilitado o muestra alerta.</t>
  </si>
  <si>
    <t>Formulario de noticia.</t>
  </si>
  <si>
    <t>Título: [Vacío], Contenido: "Prueba".</t>
  </si>
  <si>
    <t>El título es obligatorio para la visualización.</t>
  </si>
  <si>
    <t>Selección de Categoría de la noticia.</t>
  </si>
  <si>
    <t>La noticia queda etiquetada correctamente bajo la categoría seleccionada.</t>
  </si>
  <si>
    <t>Categoría: "Avisos Generales" o "Eventos".</t>
  </si>
  <si>
    <t>Clasificación correcta de la información.</t>
  </si>
  <si>
    <t>Carga de imagen principal de la noticia.</t>
  </si>
  <si>
    <t>La imagen se carga y se muestra un preview antes de publicar.</t>
  </si>
  <si>
    <t>Imagen: "evento.png".</t>
  </si>
  <si>
    <t>Soporte multimedia en noticias.</t>
  </si>
  <si>
    <t>Carga de archivos adjuntos (PDF de reglamento/acta).</t>
  </si>
  <si>
    <t>El archivo se adjunta y queda disponible para descarga en la noticia publicada.</t>
  </si>
  <si>
    <t>Adjunto: "acta_reunion.pdf".</t>
  </si>
  <si>
    <t>Permitir compartir documentación oficial.</t>
  </si>
  <si>
    <t>Cancelar creación de noticia.</t>
  </si>
  <si>
    <t>Se limpian los campos y se redirige al listado de noticias sin guardar.</t>
  </si>
  <si>
    <t>Datos ingresados pero no guardados.</t>
  </si>
  <si>
    <t>Click en botón "Cancelar".</t>
  </si>
  <si>
    <t>Permitir al usuario desistir de la acción sin residuos.</t>
  </si>
  <si>
    <t>Integrantes:
Daniel Reyes                                                                                                             Vincenzo Orellana                                                                             Nicolas Lizama</t>
  </si>
  <si>
    <t>Usuario: vin.orellana@duocuc.cl, Contraseña: admin123</t>
  </si>
  <si>
    <t>Usuario: vin.orellana@duocuc.cl, Contraseña: admin321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</si>
</sst>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 x14ac:knownFonts="1">
    <font>
      <sz val="11"/>
      <color theme="1"/>
      <name val="Calibri"/>
      <scheme val="minor"/>
    </font>
    <font>
      <sz val="11"/>
      <color theme="1"/>
      <name val="Calibri"/>
    </font>
    <font>
      <sz val="24"/>
      <color theme="1"/>
      <name val="Calibri"/>
    </font>
    <font>
      <sz val="11"/>
      <name val="Calibri"/>
    </font>
    <font>
      <sz val="11"/>
      <color rgb="FF000000"/>
      <name val="Inconsolata"/>
    </font>
    <font>
      <sz val="9"/>
      <color rgb="FF000000"/>
      <name val="Calibri"/>
    </font>
    <font>
      <sz val="20"/>
      <color theme="1"/>
      <name val="Calibri"/>
    </font>
    <font>
      <sz val="8"/>
      <name val="Calibri"/>
      <scheme val="minor"/>
    </font>
    <font>
      <u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aj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1"/>
      <color rgb="FF1B1C1D"/>
      <name val="Calibri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D9EAD3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15" xfId="0" applyFont="1" applyFill="1" applyBorder="1"/>
    <xf numFmtId="0" fontId="1" fillId="2" borderId="16" xfId="0" applyFont="1" applyFill="1" applyBorder="1"/>
    <xf numFmtId="0" fontId="1" fillId="2" borderId="17" xfId="0" applyFont="1" applyFill="1" applyBorder="1"/>
    <xf numFmtId="0" fontId="1" fillId="0" borderId="0" xfId="0" applyFont="1"/>
    <xf numFmtId="0" fontId="1" fillId="3" borderId="18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1" fontId="1" fillId="4" borderId="18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1" fontId="1" fillId="0" borderId="18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1" fontId="1" fillId="0" borderId="26" xfId="0" applyNumberFormat="1" applyFont="1" applyBorder="1" applyAlignment="1">
      <alignment horizontal="center" vertical="center" wrapText="1"/>
    </xf>
    <xf numFmtId="0" fontId="1" fillId="5" borderId="0" xfId="0" applyFont="1" applyFill="1"/>
    <xf numFmtId="0" fontId="0" fillId="5" borderId="0" xfId="0" applyFill="1"/>
    <xf numFmtId="0" fontId="4" fillId="6" borderId="1" xfId="0" applyFont="1" applyFill="1" applyBorder="1"/>
    <xf numFmtId="0" fontId="5" fillId="5" borderId="0" xfId="0" applyFont="1" applyFill="1" applyAlignment="1">
      <alignment horizontal="center"/>
    </xf>
    <xf numFmtId="0" fontId="5" fillId="5" borderId="18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 vertical="center"/>
    </xf>
    <xf numFmtId="0" fontId="1" fillId="2" borderId="26" xfId="0" applyFont="1" applyFill="1" applyBorder="1"/>
    <xf numFmtId="0" fontId="1" fillId="2" borderId="35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8" fillId="2" borderId="1" xfId="0" applyFont="1" applyFill="1" applyBorder="1"/>
    <xf numFmtId="0" fontId="10" fillId="7" borderId="35" xfId="0" applyFont="1" applyFill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 wrapText="1"/>
    </xf>
    <xf numFmtId="0" fontId="10" fillId="7" borderId="36" xfId="0" applyFont="1" applyFill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 wrapText="1"/>
    </xf>
    <xf numFmtId="0" fontId="9" fillId="4" borderId="38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0" fillId="0" borderId="0" xfId="0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1" fillId="2" borderId="23" xfId="0" applyFont="1" applyFill="1" applyBorder="1" applyAlignment="1">
      <alignment horizontal="center" vertical="center"/>
    </xf>
    <xf numFmtId="0" fontId="3" fillId="5" borderId="24" xfId="0" applyFont="1" applyFill="1" applyBorder="1"/>
    <xf numFmtId="0" fontId="3" fillId="5" borderId="21" xfId="0" applyFont="1" applyFill="1" applyBorder="1"/>
    <xf numFmtId="0" fontId="1" fillId="2" borderId="25" xfId="0" applyFont="1" applyFill="1" applyBorder="1" applyAlignment="1">
      <alignment vertical="center"/>
    </xf>
    <xf numFmtId="0" fontId="3" fillId="5" borderId="26" xfId="0" applyFont="1" applyFill="1" applyBorder="1"/>
    <xf numFmtId="0" fontId="1" fillId="2" borderId="27" xfId="0" applyFont="1" applyFill="1" applyBorder="1" applyAlignment="1">
      <alignment vertical="center"/>
    </xf>
    <xf numFmtId="0" fontId="3" fillId="5" borderId="20" xfId="0" applyFont="1" applyFill="1" applyBorder="1"/>
    <xf numFmtId="164" fontId="6" fillId="2" borderId="28" xfId="0" applyNumberFormat="1" applyFont="1" applyFill="1" applyBorder="1" applyAlignment="1">
      <alignment horizontal="center" vertical="center"/>
    </xf>
    <xf numFmtId="0" fontId="3" fillId="5" borderId="29" xfId="0" applyFont="1" applyFill="1" applyBorder="1"/>
    <xf numFmtId="0" fontId="3" fillId="5" borderId="30" xfId="0" applyFont="1" applyFill="1" applyBorder="1"/>
    <xf numFmtId="0" fontId="3" fillId="5" borderId="22" xfId="0" applyFont="1" applyFill="1" applyBorder="1"/>
    <xf numFmtId="9" fontId="6" fillId="2" borderId="23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center"/>
    </xf>
    <xf numFmtId="0" fontId="1" fillId="5" borderId="3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4" borderId="27" xfId="0" applyNumberFormat="1" applyFont="1" applyFill="1" applyBorder="1" applyAlignment="1">
      <alignment horizontal="center" vertical="center" wrapText="1"/>
    </xf>
    <xf numFmtId="0" fontId="10" fillId="7" borderId="37" xfId="0" applyFont="1" applyFill="1" applyBorder="1" applyAlignment="1">
      <alignment horizontal="center" vertical="center" wrapText="1"/>
    </xf>
    <xf numFmtId="0" fontId="13" fillId="7" borderId="35" xfId="0" applyFont="1" applyFill="1" applyBorder="1" applyAlignment="1">
      <alignment horizontal="left" vertical="center" wrapText="1" indent="1" readingOrder="1"/>
    </xf>
    <xf numFmtId="0" fontId="12" fillId="0" borderId="26" xfId="0" applyFont="1" applyBorder="1" applyAlignment="1">
      <alignment horizontal="left" vertical="center" wrapText="1" indent="1" readingOrder="1"/>
    </xf>
    <xf numFmtId="0" fontId="0" fillId="0" borderId="26" xfId="0" applyBorder="1"/>
    <xf numFmtId="0" fontId="11" fillId="0" borderId="26" xfId="0" applyFont="1" applyBorder="1" applyAlignment="1">
      <alignment horizontal="left" vertical="center" wrapText="1" indent="1" readingOrder="1"/>
    </xf>
    <xf numFmtId="0" fontId="1" fillId="0" borderId="26" xfId="0" applyFont="1" applyBorder="1" applyAlignment="1">
      <alignment horizontal="center" vertical="center" wrapText="1"/>
    </xf>
    <xf numFmtId="0" fontId="13" fillId="7" borderId="35" xfId="0" applyFont="1" applyFill="1" applyBorder="1" applyAlignment="1">
      <alignment horizontal="center" vertical="center" wrapText="1" readingOrder="1"/>
    </xf>
    <xf numFmtId="0" fontId="9" fillId="2" borderId="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CL" sz="1400" b="0" i="0">
                <a:solidFill>
                  <a:srgbClr val="757575"/>
                </a:solidFill>
                <a:latin typeface="+mn-lt"/>
              </a:rPr>
              <a:t>Avance del proceso de ejecución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Control!$C$9:$C$13</c:f>
              <c:strCache>
                <c:ptCount val="5"/>
                <c:pt idx="0">
                  <c:v>OK</c:v>
                </c:pt>
                <c:pt idx="1">
                  <c:v>NOK</c:v>
                </c:pt>
                <c:pt idx="2">
                  <c:v>No ejecutado</c:v>
                </c:pt>
                <c:pt idx="3">
                  <c:v>Bloqueado</c:v>
                </c:pt>
                <c:pt idx="4">
                  <c:v>Obsoleto</c:v>
                </c:pt>
              </c:strCache>
            </c:strRef>
          </c:cat>
          <c:val>
            <c:numRef>
              <c:f>Control!$D$9:$D$13</c:f>
              <c:numCache>
                <c:formatCode>General</c:formatCode>
                <c:ptCount val="5"/>
                <c:pt idx="0">
                  <c:v>59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048-4F12-A801-FDE5779F8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4296432"/>
        <c:axId val="2024180122"/>
      </c:barChart>
      <c:catAx>
        <c:axId val="19942964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2024180122"/>
        <c:crosses val="autoZero"/>
        <c:auto val="1"/>
        <c:lblAlgn val="ctr"/>
        <c:lblOffset val="100"/>
        <c:noMultiLvlLbl val="1"/>
      </c:catAx>
      <c:valAx>
        <c:axId val="20241801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994296432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Total de casos ejecutados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>
              <a:noFill/>
            </a:ln>
            <a:effectLst/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1B13-46B1-99B4-DDECB43306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Control!$D$21:$D$24</c15:sqref>
                  </c15:fullRef>
                </c:ext>
              </c:extLst>
              <c:f>Control!$D$21</c:f>
              <c:strCache>
                <c:ptCount val="1"/>
                <c:pt idx="0">
                  <c:v>Daniel Reyes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Control!$E$21:$E$24</c15:sqref>
                  </c15:fullRef>
                </c:ext>
              </c:extLst>
              <c:f>Control!$E$21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8-1B13-46B1-99B4-DDECB433063B}"/>
            </c:ext>
          </c:extLst>
        </c:ser>
        <c:ser>
          <c:idx val="1"/>
          <c:order val="1"/>
          <c:spPr>
            <a:solidFill>
              <a:srgbClr val="ED7D31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Control!$D$21:$D$24</c15:sqref>
                  </c15:fullRef>
                </c:ext>
              </c:extLst>
              <c:f>Control!$D$21</c:f>
              <c:strCache>
                <c:ptCount val="1"/>
                <c:pt idx="0">
                  <c:v>Daniel Reyes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Control!$F$21:$F$24</c15:sqref>
                  </c15:fullRef>
                </c:ext>
              </c:extLst>
              <c:f>Control!$F$21</c:f>
              <c:numCache>
                <c:formatCode>General</c:formatCode>
                <c:ptCount val="1"/>
                <c:pt idx="0">
                  <c:v>73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9-1B13-46B1-99B4-DDECB43306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2035930"/>
        <c:axId val="954254991"/>
      </c:barChart>
      <c:catAx>
        <c:axId val="150203593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954254991"/>
        <c:crosses val="autoZero"/>
        <c:auto val="1"/>
        <c:lblAlgn val="ctr"/>
        <c:lblOffset val="100"/>
        <c:noMultiLvlLbl val="1"/>
      </c:catAx>
      <c:valAx>
        <c:axId val="95425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203593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/>
      </a:pPr>
      <a:endParaRPr lang="es-CL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3</xdr:row>
      <xdr:rowOff>57150</xdr:rowOff>
    </xdr:from>
    <xdr:ext cx="4314825" cy="2324100"/>
    <xdr:graphicFrame macro="">
      <xdr:nvGraphicFramePr>
        <xdr:cNvPr id="1440807502" name="Chart 1" title="Gráfico">
          <a:extLst>
            <a:ext uri="{FF2B5EF4-FFF2-40B4-BE49-F238E27FC236}">
              <a16:creationId xmlns:a16="http://schemas.microsoft.com/office/drawing/2014/main" id="{00000000-0008-0000-0300-00004EFAE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66675</xdr:colOff>
      <xdr:row>16</xdr:row>
      <xdr:rowOff>104775</xdr:rowOff>
    </xdr:from>
    <xdr:ext cx="4429125" cy="2114550"/>
    <xdr:graphicFrame macro="">
      <xdr:nvGraphicFramePr>
        <xdr:cNvPr id="1196264005" name="Chart 2" title="Gráfico">
          <a:extLst>
            <a:ext uri="{FF2B5EF4-FFF2-40B4-BE49-F238E27FC236}">
              <a16:creationId xmlns:a16="http://schemas.microsoft.com/office/drawing/2014/main" id="{00000000-0008-0000-0300-0000458A4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16" workbookViewId="0">
      <selection activeCell="B37" sqref="B37"/>
    </sheetView>
  </sheetViews>
  <sheetFormatPr baseColWidth="10" defaultColWidth="14.42578125" defaultRowHeight="15" customHeight="1" x14ac:dyDescent="0.25"/>
  <cols>
    <col min="1" max="3" width="3.28515625" customWidth="1"/>
    <col min="4" max="10" width="9.42578125" customWidth="1"/>
    <col min="11" max="12" width="3.28515625" customWidth="1"/>
    <col min="13" max="25" width="10.710937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5"/>
      <c r="C3" s="2"/>
      <c r="D3" s="3"/>
      <c r="E3" s="3"/>
      <c r="F3" s="3"/>
      <c r="G3" s="3"/>
      <c r="H3" s="3"/>
      <c r="I3" s="3"/>
      <c r="J3" s="3"/>
      <c r="K3" s="4"/>
      <c r="L3" s="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5"/>
      <c r="C4" s="5"/>
      <c r="D4" s="1"/>
      <c r="E4" s="1"/>
      <c r="F4" s="1"/>
      <c r="G4" s="1"/>
      <c r="H4" s="1"/>
      <c r="I4" s="1"/>
      <c r="J4" s="1"/>
      <c r="K4" s="6"/>
      <c r="L4" s="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5"/>
      <c r="C5" s="5"/>
      <c r="D5" s="1"/>
      <c r="E5" s="1"/>
      <c r="F5" s="1"/>
      <c r="G5" s="1"/>
      <c r="H5" s="1"/>
      <c r="I5" s="1"/>
      <c r="J5" s="1"/>
      <c r="K5" s="6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5">
      <c r="A6" s="1"/>
      <c r="B6" s="5"/>
      <c r="C6" s="5"/>
      <c r="D6" s="1"/>
      <c r="E6" s="45" t="s">
        <v>0</v>
      </c>
      <c r="F6" s="46"/>
      <c r="G6" s="46"/>
      <c r="H6" s="46"/>
      <c r="I6" s="47"/>
      <c r="J6" s="1"/>
      <c r="K6" s="6"/>
      <c r="L6" s="6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5"/>
      <c r="C7" s="5"/>
      <c r="D7" s="1"/>
      <c r="E7" s="48"/>
      <c r="F7" s="49"/>
      <c r="G7" s="49"/>
      <c r="H7" s="49"/>
      <c r="I7" s="50"/>
      <c r="J7" s="1"/>
      <c r="K7" s="6"/>
      <c r="L7" s="6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5">
      <c r="A8" s="1"/>
      <c r="B8" s="5"/>
      <c r="C8" s="5"/>
      <c r="D8" s="1"/>
      <c r="E8" s="48"/>
      <c r="F8" s="49"/>
      <c r="G8" s="49"/>
      <c r="H8" s="49"/>
      <c r="I8" s="50"/>
      <c r="J8" s="1"/>
      <c r="K8" s="6"/>
      <c r="L8" s="6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5">
      <c r="A9" s="1"/>
      <c r="B9" s="5"/>
      <c r="C9" s="5"/>
      <c r="D9" s="1"/>
      <c r="E9" s="48"/>
      <c r="F9" s="49"/>
      <c r="G9" s="49"/>
      <c r="H9" s="49"/>
      <c r="I9" s="50"/>
      <c r="J9" s="1"/>
      <c r="K9" s="6"/>
      <c r="L9" s="6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5"/>
      <c r="C10" s="5"/>
      <c r="D10" s="1"/>
      <c r="E10" s="51"/>
      <c r="F10" s="52"/>
      <c r="G10" s="52"/>
      <c r="H10" s="52"/>
      <c r="I10" s="53"/>
      <c r="J10" s="1"/>
      <c r="K10" s="6"/>
      <c r="L10" s="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5"/>
      <c r="C11" s="5"/>
      <c r="D11" s="1"/>
      <c r="E11" s="1"/>
      <c r="F11" s="1"/>
      <c r="G11" s="1"/>
      <c r="H11" s="1"/>
      <c r="I11" s="1"/>
      <c r="J11" s="1"/>
      <c r="K11" s="6"/>
      <c r="L11" s="6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5"/>
      <c r="C12" s="5"/>
      <c r="D12" s="1"/>
      <c r="E12" s="1"/>
      <c r="F12" s="1"/>
      <c r="G12" s="1"/>
      <c r="H12" s="1"/>
      <c r="I12" s="1"/>
      <c r="J12" s="1"/>
      <c r="K12" s="6"/>
      <c r="L12" s="6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5">
      <c r="A13" s="1"/>
      <c r="B13" s="5"/>
      <c r="C13" s="5"/>
      <c r="D13" s="1"/>
      <c r="E13" s="1"/>
      <c r="F13" s="1"/>
      <c r="G13" s="1"/>
      <c r="H13" s="1"/>
      <c r="I13" s="1"/>
      <c r="J13" s="1"/>
      <c r="K13" s="6"/>
      <c r="L13" s="6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5"/>
      <c r="C14" s="5"/>
      <c r="D14" s="1"/>
      <c r="E14" s="1"/>
      <c r="F14" s="1"/>
      <c r="G14" s="1"/>
      <c r="H14" s="1"/>
      <c r="I14" s="1"/>
      <c r="J14" s="1"/>
      <c r="K14" s="6"/>
      <c r="L14" s="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5"/>
      <c r="C15" s="5"/>
      <c r="D15" s="1"/>
      <c r="E15" s="1"/>
      <c r="F15" s="1"/>
      <c r="G15" s="1"/>
      <c r="H15" s="1"/>
      <c r="I15" s="1"/>
      <c r="J15" s="1"/>
      <c r="K15" s="6"/>
      <c r="L15" s="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5"/>
      <c r="C16" s="5"/>
      <c r="D16" s="1"/>
      <c r="E16" s="1"/>
      <c r="F16" s="1"/>
      <c r="G16" s="1"/>
      <c r="H16" s="1"/>
      <c r="I16" s="1"/>
      <c r="J16" s="1"/>
      <c r="K16" s="6"/>
      <c r="L16" s="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5"/>
      <c r="C17" s="5"/>
      <c r="D17" s="1"/>
      <c r="E17" s="1"/>
      <c r="F17" s="1"/>
      <c r="G17" s="1"/>
      <c r="H17" s="1"/>
      <c r="I17" s="1"/>
      <c r="J17" s="1"/>
      <c r="K17" s="6"/>
      <c r="L17" s="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5"/>
      <c r="C18" s="5"/>
      <c r="D18" s="1"/>
      <c r="E18" s="1"/>
      <c r="F18" s="1"/>
      <c r="G18" s="1"/>
      <c r="H18" s="1"/>
      <c r="I18" s="1"/>
      <c r="J18" s="1"/>
      <c r="K18" s="6"/>
      <c r="L18" s="6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5"/>
      <c r="C19" s="5"/>
      <c r="D19" s="1"/>
      <c r="E19" s="1"/>
      <c r="F19" s="1"/>
      <c r="G19" s="1"/>
      <c r="H19" s="1"/>
      <c r="I19" s="1"/>
      <c r="J19" s="1"/>
      <c r="K19" s="6"/>
      <c r="L19" s="6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5"/>
      <c r="C20" s="5"/>
      <c r="D20" s="1"/>
      <c r="E20" s="1"/>
      <c r="F20" s="1"/>
      <c r="G20" s="1"/>
      <c r="H20" s="1"/>
      <c r="I20" s="1"/>
      <c r="J20" s="1"/>
      <c r="K20" s="6"/>
      <c r="L20" s="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5"/>
      <c r="C21" s="5"/>
      <c r="D21" s="1"/>
      <c r="E21" s="1"/>
      <c r="F21" s="1"/>
      <c r="G21" s="1"/>
      <c r="H21" s="1"/>
      <c r="I21" s="1"/>
      <c r="J21" s="1"/>
      <c r="K21" s="6"/>
      <c r="L21" s="6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5"/>
      <c r="C22" s="5"/>
      <c r="D22" s="1"/>
      <c r="E22" s="1"/>
      <c r="F22" s="1"/>
      <c r="G22" s="1"/>
      <c r="H22" s="1"/>
      <c r="I22" s="1"/>
      <c r="J22" s="1"/>
      <c r="K22" s="6"/>
      <c r="L22" s="6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5"/>
      <c r="C23" s="5"/>
      <c r="D23" s="1"/>
      <c r="E23" s="1"/>
      <c r="F23" s="1"/>
      <c r="G23" s="1"/>
      <c r="H23" s="1"/>
      <c r="I23" s="1"/>
      <c r="J23" s="1"/>
      <c r="K23" s="6"/>
      <c r="L23" s="6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5"/>
      <c r="C24" s="5"/>
      <c r="D24" s="1"/>
      <c r="E24" s="1"/>
      <c r="F24" s="1"/>
      <c r="G24" s="1"/>
      <c r="H24" s="1"/>
      <c r="I24" s="1"/>
      <c r="J24" s="1"/>
      <c r="K24" s="6"/>
      <c r="L24" s="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5"/>
      <c r="C25" s="5"/>
      <c r="D25" s="1"/>
      <c r="E25" s="1"/>
      <c r="F25" s="1"/>
      <c r="G25" s="1"/>
      <c r="H25" s="1"/>
      <c r="I25" s="1"/>
      <c r="J25" s="1"/>
      <c r="K25" s="6"/>
      <c r="L25" s="6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5"/>
      <c r="C26" s="5"/>
      <c r="D26" s="1"/>
      <c r="E26" s="1"/>
      <c r="F26" s="1"/>
      <c r="G26" s="1"/>
      <c r="H26" s="1"/>
      <c r="I26" s="1"/>
      <c r="J26" s="1"/>
      <c r="K26" s="6"/>
      <c r="L26" s="6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5"/>
      <c r="C27" s="5"/>
      <c r="D27" s="1"/>
      <c r="E27" s="1"/>
      <c r="F27" s="1"/>
      <c r="G27" s="1"/>
      <c r="H27" s="1"/>
      <c r="I27" s="1"/>
      <c r="J27" s="1"/>
      <c r="K27" s="6"/>
      <c r="L27" s="6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5"/>
      <c r="C28" s="5"/>
      <c r="D28" s="1"/>
      <c r="E28" s="1"/>
      <c r="F28" s="1"/>
      <c r="G28" s="1"/>
      <c r="H28" s="1"/>
      <c r="I28" s="1"/>
      <c r="J28" s="1"/>
      <c r="K28" s="6"/>
      <c r="L28" s="6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5"/>
      <c r="C29" s="5"/>
      <c r="D29" s="1"/>
      <c r="E29" s="1"/>
      <c r="F29" s="1"/>
      <c r="G29" s="1"/>
      <c r="H29" s="1"/>
      <c r="I29" s="1"/>
      <c r="J29" s="1"/>
      <c r="K29" s="6"/>
      <c r="L29" s="6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5"/>
      <c r="C30" s="5"/>
      <c r="D30" s="1"/>
      <c r="E30" s="1"/>
      <c r="F30" s="1"/>
      <c r="G30" s="1"/>
      <c r="H30" s="1"/>
      <c r="I30" s="1"/>
      <c r="J30" s="1"/>
      <c r="K30" s="6"/>
      <c r="L30" s="6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5"/>
      <c r="C31" s="5"/>
      <c r="D31" s="1"/>
      <c r="E31" s="1"/>
      <c r="F31" s="1"/>
      <c r="G31" s="1"/>
      <c r="H31" s="1"/>
      <c r="I31" s="1"/>
      <c r="J31" s="1"/>
      <c r="K31" s="6"/>
      <c r="L31" s="6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5"/>
      <c r="C32" s="5"/>
      <c r="D32" s="1"/>
      <c r="E32" s="1"/>
      <c r="F32" s="1"/>
      <c r="G32" s="1"/>
      <c r="H32" s="1"/>
      <c r="I32" s="1"/>
      <c r="J32" s="1"/>
      <c r="K32" s="6"/>
      <c r="L32" s="6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5"/>
      <c r="C33" s="5"/>
      <c r="D33" s="1"/>
      <c r="E33" s="1"/>
      <c r="F33" s="1"/>
      <c r="G33" s="1"/>
      <c r="H33" s="1"/>
      <c r="I33" s="1"/>
      <c r="J33" s="1"/>
      <c r="K33" s="6"/>
      <c r="L33" s="6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5"/>
      <c r="C34" s="5"/>
      <c r="D34" s="1"/>
      <c r="E34" s="1"/>
      <c r="F34" s="1"/>
      <c r="G34" s="1"/>
      <c r="H34" s="1"/>
      <c r="I34" s="1"/>
      <c r="J34" s="1"/>
      <c r="K34" s="6"/>
      <c r="L34" s="6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 x14ac:dyDescent="0.25">
      <c r="A35" s="1"/>
      <c r="B35" s="5"/>
      <c r="C35" s="5"/>
      <c r="D35" s="1"/>
      <c r="E35" s="88" t="s">
        <v>447</v>
      </c>
      <c r="F35" s="46"/>
      <c r="G35" s="46"/>
      <c r="H35" s="46"/>
      <c r="I35" s="47"/>
      <c r="J35" s="1"/>
      <c r="K35" s="6"/>
      <c r="L35" s="6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 x14ac:dyDescent="0.25">
      <c r="A36" s="1"/>
      <c r="B36" s="5"/>
      <c r="C36" s="5"/>
      <c r="D36" s="1"/>
      <c r="E36" s="48"/>
      <c r="F36" s="49"/>
      <c r="G36" s="49"/>
      <c r="H36" s="49"/>
      <c r="I36" s="50"/>
      <c r="J36" s="1"/>
      <c r="K36" s="6"/>
      <c r="L36" s="6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 x14ac:dyDescent="0.25">
      <c r="A37" s="1"/>
      <c r="B37" s="5"/>
      <c r="C37" s="5"/>
      <c r="D37" s="1"/>
      <c r="E37" s="48"/>
      <c r="F37" s="49"/>
      <c r="G37" s="49"/>
      <c r="H37" s="49"/>
      <c r="I37" s="50"/>
      <c r="J37" s="1"/>
      <c r="K37" s="6"/>
      <c r="L37" s="6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 x14ac:dyDescent="0.25">
      <c r="A38" s="1"/>
      <c r="B38" s="5"/>
      <c r="C38" s="5"/>
      <c r="D38" s="1"/>
      <c r="E38" s="48"/>
      <c r="F38" s="49"/>
      <c r="G38" s="49"/>
      <c r="H38" s="49"/>
      <c r="I38" s="50"/>
      <c r="J38" s="1"/>
      <c r="K38" s="6"/>
      <c r="L38" s="6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 x14ac:dyDescent="0.25">
      <c r="A39" s="1"/>
      <c r="B39" s="5"/>
      <c r="C39" s="5"/>
      <c r="D39" s="1"/>
      <c r="E39" s="51"/>
      <c r="F39" s="52"/>
      <c r="G39" s="52"/>
      <c r="H39" s="52"/>
      <c r="I39" s="53"/>
      <c r="J39" s="1"/>
      <c r="K39" s="6"/>
      <c r="L39" s="6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 x14ac:dyDescent="0.25">
      <c r="A40" s="1"/>
      <c r="B40" s="5"/>
      <c r="C40" s="5"/>
      <c r="D40" s="1"/>
      <c r="E40" s="1"/>
      <c r="F40" s="1"/>
      <c r="G40" s="1"/>
      <c r="H40" s="1"/>
      <c r="I40" s="1"/>
      <c r="J40" s="1"/>
      <c r="K40" s="6"/>
      <c r="L40" s="6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5"/>
      <c r="C41" s="5"/>
      <c r="D41" s="1"/>
      <c r="E41" s="1"/>
      <c r="F41" s="1"/>
      <c r="G41" s="1"/>
      <c r="H41" s="1"/>
      <c r="I41" s="1"/>
      <c r="J41" s="1"/>
      <c r="K41" s="6"/>
      <c r="L41" s="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5"/>
      <c r="C42" s="5"/>
      <c r="D42" s="1"/>
      <c r="E42" s="1"/>
      <c r="F42" s="1"/>
      <c r="G42" s="1"/>
      <c r="H42" s="1"/>
      <c r="I42" s="1"/>
      <c r="J42" s="1"/>
      <c r="K42" s="6"/>
      <c r="L42" s="6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5"/>
      <c r="C43" s="7"/>
      <c r="D43" s="8"/>
      <c r="E43" s="8"/>
      <c r="F43" s="8"/>
      <c r="G43" s="8"/>
      <c r="H43" s="8"/>
      <c r="I43" s="8"/>
      <c r="J43" s="8"/>
      <c r="K43" s="9"/>
      <c r="L43" s="6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7"/>
      <c r="C44" s="8"/>
      <c r="D44" s="8"/>
      <c r="E44" s="8"/>
      <c r="F44" s="8"/>
      <c r="G44" s="8"/>
      <c r="H44" s="8"/>
      <c r="I44" s="8"/>
      <c r="J44" s="8"/>
      <c r="K44" s="8"/>
      <c r="L44" s="9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E6:I10"/>
    <mergeCell ref="E35:I39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91"/>
  <sheetViews>
    <sheetView tabSelected="1" topLeftCell="C1" workbookViewId="0">
      <pane ySplit="1" topLeftCell="A71" activePane="bottomLeft" state="frozen"/>
      <selection pane="bottomLeft" activeCell="C74" sqref="C74:D74"/>
    </sheetView>
  </sheetViews>
  <sheetFormatPr baseColWidth="10" defaultColWidth="14.42578125" defaultRowHeight="15" customHeight="1" x14ac:dyDescent="0.25"/>
  <cols>
    <col min="1" max="2" width="10.28515625" hidden="1" customWidth="1"/>
    <col min="3" max="3" width="25.140625" customWidth="1"/>
    <col min="4" max="4" width="35.42578125" customWidth="1"/>
    <col min="5" max="5" width="19.85546875" bestFit="1" customWidth="1"/>
    <col min="6" max="6" width="27.85546875" customWidth="1"/>
    <col min="7" max="7" width="22.42578125" customWidth="1"/>
    <col min="8" max="8" width="31.42578125" customWidth="1"/>
    <col min="9" max="9" width="35" customWidth="1"/>
    <col min="10" max="10" width="15.5703125" customWidth="1"/>
    <col min="11" max="11" width="33.5703125" customWidth="1"/>
    <col min="12" max="12" width="19.140625" customWidth="1"/>
    <col min="13" max="13" width="19" customWidth="1"/>
    <col min="14" max="14" width="22.7109375" customWidth="1"/>
    <col min="15" max="15" width="20.5703125" customWidth="1"/>
  </cols>
  <sheetData>
    <row r="1" spans="1:25" ht="14.25" customHeight="1" x14ac:dyDescent="0.25">
      <c r="A1" s="11" t="s">
        <v>8</v>
      </c>
      <c r="B1" s="11"/>
      <c r="C1" s="11" t="s">
        <v>42</v>
      </c>
      <c r="D1" s="11" t="s">
        <v>9</v>
      </c>
      <c r="E1" s="11" t="s">
        <v>10</v>
      </c>
      <c r="F1" s="11" t="s">
        <v>11</v>
      </c>
      <c r="G1" s="12" t="s">
        <v>12</v>
      </c>
      <c r="H1" s="11" t="s">
        <v>13</v>
      </c>
      <c r="I1" s="11" t="s">
        <v>14</v>
      </c>
      <c r="J1" s="11" t="s">
        <v>15</v>
      </c>
      <c r="K1" s="12" t="s">
        <v>16</v>
      </c>
      <c r="L1" s="12" t="s">
        <v>17</v>
      </c>
      <c r="M1" s="11" t="s">
        <v>1</v>
      </c>
      <c r="N1" s="12" t="s">
        <v>5</v>
      </c>
      <c r="O1" s="14" t="s">
        <v>18</v>
      </c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45" x14ac:dyDescent="0.25">
      <c r="A2" s="15" t="s">
        <v>41</v>
      </c>
      <c r="B2" s="15">
        <v>10</v>
      </c>
      <c r="C2" s="15" t="str">
        <f>A2&amp;"_00"&amp;B2</f>
        <v>MTC_0010</v>
      </c>
      <c r="D2" s="35" t="s">
        <v>43</v>
      </c>
      <c r="E2" s="35" t="s">
        <v>19</v>
      </c>
      <c r="F2" s="35" t="s">
        <v>44</v>
      </c>
      <c r="G2" s="35" t="s">
        <v>45</v>
      </c>
      <c r="H2" s="35" t="s">
        <v>46</v>
      </c>
      <c r="I2" s="35" t="s">
        <v>448</v>
      </c>
      <c r="J2" s="35" t="s">
        <v>47</v>
      </c>
      <c r="K2" s="35" t="s">
        <v>48</v>
      </c>
      <c r="L2" s="35" t="s">
        <v>20</v>
      </c>
      <c r="M2" s="35" t="s">
        <v>4</v>
      </c>
      <c r="N2" s="35" t="s">
        <v>49</v>
      </c>
      <c r="O2" s="36" t="s">
        <v>50</v>
      </c>
      <c r="P2" s="13"/>
      <c r="Q2" s="16"/>
      <c r="R2" s="16"/>
      <c r="S2" s="16"/>
      <c r="T2" s="16"/>
      <c r="U2" s="16"/>
      <c r="V2" s="16"/>
      <c r="W2" s="16"/>
      <c r="X2" s="16"/>
      <c r="Y2" s="16"/>
    </row>
    <row r="3" spans="1:25" ht="60" x14ac:dyDescent="0.25">
      <c r="A3" s="15" t="s">
        <v>41</v>
      </c>
      <c r="B3" s="15">
        <v>20</v>
      </c>
      <c r="C3" s="15" t="str">
        <f t="shared" ref="C3:C11" si="0">A3&amp;"_00"&amp;B3</f>
        <v>MTC_0020</v>
      </c>
      <c r="D3" s="35" t="s">
        <v>51</v>
      </c>
      <c r="E3" s="35" t="s">
        <v>19</v>
      </c>
      <c r="F3" s="35" t="s">
        <v>52</v>
      </c>
      <c r="G3" s="35" t="s">
        <v>53</v>
      </c>
      <c r="H3" s="35" t="s">
        <v>54</v>
      </c>
      <c r="I3" s="35" t="s">
        <v>449</v>
      </c>
      <c r="J3" s="35" t="s">
        <v>47</v>
      </c>
      <c r="K3" s="35" t="s">
        <v>55</v>
      </c>
      <c r="L3" s="35" t="s">
        <v>20</v>
      </c>
      <c r="M3" s="35" t="s">
        <v>4</v>
      </c>
      <c r="N3" s="35" t="s">
        <v>49</v>
      </c>
      <c r="O3" s="36" t="s">
        <v>50</v>
      </c>
      <c r="P3" s="13"/>
      <c r="Q3" s="16"/>
      <c r="R3" s="16"/>
      <c r="S3" s="16"/>
      <c r="T3" s="16"/>
      <c r="U3" s="16"/>
      <c r="V3" s="16"/>
      <c r="W3" s="16"/>
      <c r="X3" s="16"/>
      <c r="Y3" s="16"/>
    </row>
    <row r="4" spans="1:25" ht="45" x14ac:dyDescent="0.25">
      <c r="A4" s="15" t="s">
        <v>41</v>
      </c>
      <c r="B4" s="15">
        <v>30</v>
      </c>
      <c r="C4" s="15" t="str">
        <f t="shared" si="0"/>
        <v>MTC_0030</v>
      </c>
      <c r="D4" s="35" t="s">
        <v>56</v>
      </c>
      <c r="E4" s="35" t="s">
        <v>19</v>
      </c>
      <c r="F4" s="35" t="s">
        <v>57</v>
      </c>
      <c r="G4" s="35" t="s">
        <v>58</v>
      </c>
      <c r="H4" s="35" t="s">
        <v>59</v>
      </c>
      <c r="I4" s="35" t="s">
        <v>60</v>
      </c>
      <c r="J4" s="35" t="s">
        <v>47</v>
      </c>
      <c r="K4" s="35" t="s">
        <v>61</v>
      </c>
      <c r="L4" s="35" t="s">
        <v>20</v>
      </c>
      <c r="M4" s="35" t="s">
        <v>4</v>
      </c>
      <c r="N4" s="35" t="s">
        <v>49</v>
      </c>
      <c r="O4" s="36" t="s">
        <v>50</v>
      </c>
      <c r="P4" s="13"/>
      <c r="Q4" s="16"/>
      <c r="R4" s="16"/>
      <c r="S4" s="16"/>
      <c r="T4" s="16"/>
      <c r="U4" s="16"/>
      <c r="V4" s="16"/>
      <c r="W4" s="16"/>
      <c r="X4" s="16"/>
      <c r="Y4" s="16"/>
    </row>
    <row r="5" spans="1:25" ht="45" x14ac:dyDescent="0.25">
      <c r="A5" s="15" t="s">
        <v>41</v>
      </c>
      <c r="B5" s="15">
        <v>40</v>
      </c>
      <c r="C5" s="15" t="str">
        <f t="shared" si="0"/>
        <v>MTC_0040</v>
      </c>
      <c r="D5" s="35" t="s">
        <v>62</v>
      </c>
      <c r="E5" s="35" t="s">
        <v>19</v>
      </c>
      <c r="F5" s="35" t="s">
        <v>57</v>
      </c>
      <c r="G5" s="35" t="s">
        <v>63</v>
      </c>
      <c r="H5" s="35" t="s">
        <v>59</v>
      </c>
      <c r="I5" s="35" t="s">
        <v>64</v>
      </c>
      <c r="J5" s="35" t="s">
        <v>47</v>
      </c>
      <c r="K5" s="35" t="s">
        <v>65</v>
      </c>
      <c r="L5" s="35" t="s">
        <v>20</v>
      </c>
      <c r="M5" s="35" t="s">
        <v>4</v>
      </c>
      <c r="N5" s="35" t="s">
        <v>49</v>
      </c>
      <c r="O5" s="36" t="s">
        <v>50</v>
      </c>
      <c r="P5" s="13"/>
      <c r="Q5" s="16"/>
      <c r="R5" s="16"/>
      <c r="S5" s="16"/>
      <c r="T5" s="16"/>
      <c r="U5" s="16"/>
      <c r="V5" s="16"/>
      <c r="W5" s="16"/>
      <c r="X5" s="16"/>
      <c r="Y5" s="16"/>
    </row>
    <row r="6" spans="1:25" ht="45" x14ac:dyDescent="0.25">
      <c r="A6" s="15" t="s">
        <v>41</v>
      </c>
      <c r="B6" s="15">
        <v>50</v>
      </c>
      <c r="C6" s="15" t="str">
        <f t="shared" si="0"/>
        <v>MTC_0050</v>
      </c>
      <c r="D6" s="35" t="s">
        <v>66</v>
      </c>
      <c r="E6" s="35" t="s">
        <v>19</v>
      </c>
      <c r="F6" s="35" t="s">
        <v>57</v>
      </c>
      <c r="G6" s="35" t="s">
        <v>67</v>
      </c>
      <c r="H6" s="35" t="s">
        <v>59</v>
      </c>
      <c r="I6" s="35" t="s">
        <v>68</v>
      </c>
      <c r="J6" s="35" t="s">
        <v>47</v>
      </c>
      <c r="K6" s="35" t="s">
        <v>69</v>
      </c>
      <c r="L6" s="35" t="s">
        <v>20</v>
      </c>
      <c r="M6" s="35" t="s">
        <v>4</v>
      </c>
      <c r="N6" s="35" t="s">
        <v>49</v>
      </c>
      <c r="O6" s="36" t="s">
        <v>50</v>
      </c>
      <c r="P6" s="13"/>
      <c r="Q6" s="16"/>
      <c r="R6" s="16"/>
      <c r="S6" s="16"/>
      <c r="T6" s="16"/>
      <c r="U6" s="16"/>
      <c r="V6" s="16"/>
      <c r="W6" s="16"/>
      <c r="X6" s="16"/>
      <c r="Y6" s="16"/>
    </row>
    <row r="7" spans="1:25" ht="60" x14ac:dyDescent="0.25">
      <c r="A7" s="15" t="s">
        <v>41</v>
      </c>
      <c r="B7" s="15">
        <v>60</v>
      </c>
      <c r="C7" s="15" t="str">
        <f t="shared" si="0"/>
        <v>MTC_0060</v>
      </c>
      <c r="D7" s="35" t="s">
        <v>70</v>
      </c>
      <c r="E7" s="35" t="s">
        <v>19</v>
      </c>
      <c r="F7" s="35" t="s">
        <v>57</v>
      </c>
      <c r="G7" s="35" t="s">
        <v>71</v>
      </c>
      <c r="H7" s="35" t="s">
        <v>54</v>
      </c>
      <c r="I7" s="35" t="s">
        <v>72</v>
      </c>
      <c r="J7" s="35" t="s">
        <v>47</v>
      </c>
      <c r="K7" s="35" t="s">
        <v>73</v>
      </c>
      <c r="L7" s="35" t="s">
        <v>20</v>
      </c>
      <c r="M7" s="35" t="s">
        <v>4</v>
      </c>
      <c r="N7" s="35" t="s">
        <v>49</v>
      </c>
      <c r="O7" s="36" t="s">
        <v>50</v>
      </c>
      <c r="P7" s="13"/>
      <c r="Q7" s="16"/>
      <c r="R7" s="16"/>
      <c r="S7" s="16"/>
      <c r="T7" s="16"/>
      <c r="U7" s="16"/>
      <c r="V7" s="16"/>
      <c r="W7" s="16"/>
      <c r="X7" s="16"/>
      <c r="Y7" s="16"/>
    </row>
    <row r="8" spans="1:25" ht="45" x14ac:dyDescent="0.25">
      <c r="A8" s="15" t="s">
        <v>41</v>
      </c>
      <c r="B8" s="15">
        <v>70</v>
      </c>
      <c r="C8" s="15" t="str">
        <f t="shared" si="0"/>
        <v>MTC_0070</v>
      </c>
      <c r="D8" s="35" t="s">
        <v>74</v>
      </c>
      <c r="E8" s="35" t="s">
        <v>30</v>
      </c>
      <c r="F8" s="35" t="s">
        <v>75</v>
      </c>
      <c r="G8" s="35" t="s">
        <v>76</v>
      </c>
      <c r="H8" s="35" t="s">
        <v>77</v>
      </c>
      <c r="I8" s="35" t="s">
        <v>78</v>
      </c>
      <c r="J8" s="35" t="s">
        <v>47</v>
      </c>
      <c r="K8" s="35" t="s">
        <v>79</v>
      </c>
      <c r="L8" s="35" t="s">
        <v>20</v>
      </c>
      <c r="M8" s="35" t="s">
        <v>4</v>
      </c>
      <c r="N8" s="35" t="s">
        <v>80</v>
      </c>
      <c r="O8" s="36" t="s">
        <v>50</v>
      </c>
      <c r="P8" s="13"/>
      <c r="Q8" s="16"/>
      <c r="R8" s="16"/>
      <c r="S8" s="16"/>
      <c r="T8" s="16"/>
      <c r="U8" s="16"/>
      <c r="V8" s="16"/>
      <c r="W8" s="16"/>
      <c r="X8" s="16"/>
      <c r="Y8" s="16"/>
    </row>
    <row r="9" spans="1:25" ht="75" x14ac:dyDescent="0.25">
      <c r="A9" s="15" t="s">
        <v>41</v>
      </c>
      <c r="B9" s="15">
        <v>80</v>
      </c>
      <c r="C9" s="15" t="str">
        <f t="shared" si="0"/>
        <v>MTC_0080</v>
      </c>
      <c r="D9" s="35" t="s">
        <v>81</v>
      </c>
      <c r="E9" s="35" t="s">
        <v>19</v>
      </c>
      <c r="F9" s="35" t="s">
        <v>82</v>
      </c>
      <c r="G9" s="35" t="s">
        <v>83</v>
      </c>
      <c r="H9" s="35" t="s">
        <v>84</v>
      </c>
      <c r="I9" s="35" t="s">
        <v>85</v>
      </c>
      <c r="J9" s="35" t="s">
        <v>47</v>
      </c>
      <c r="K9" s="35" t="s">
        <v>86</v>
      </c>
      <c r="L9" s="35" t="s">
        <v>20</v>
      </c>
      <c r="M9" s="35" t="s">
        <v>4</v>
      </c>
      <c r="N9" s="35" t="s">
        <v>49</v>
      </c>
      <c r="O9" s="36" t="s">
        <v>50</v>
      </c>
      <c r="P9" s="13"/>
      <c r="Q9" s="16"/>
      <c r="R9" s="16"/>
      <c r="S9" s="16"/>
      <c r="T9" s="16"/>
      <c r="U9" s="16"/>
      <c r="V9" s="16"/>
      <c r="W9" s="16"/>
      <c r="X9" s="16"/>
      <c r="Y9" s="16"/>
    </row>
    <row r="10" spans="1:25" ht="45" x14ac:dyDescent="0.25">
      <c r="A10" s="15" t="s">
        <v>41</v>
      </c>
      <c r="B10" s="15">
        <v>90</v>
      </c>
      <c r="C10" s="15" t="str">
        <f t="shared" si="0"/>
        <v>MTC_0090</v>
      </c>
      <c r="D10" s="37" t="s">
        <v>87</v>
      </c>
      <c r="E10" s="37" t="s">
        <v>88</v>
      </c>
      <c r="F10" s="37" t="s">
        <v>89</v>
      </c>
      <c r="G10" s="37" t="s">
        <v>90</v>
      </c>
      <c r="H10" s="37" t="s">
        <v>91</v>
      </c>
      <c r="I10" s="37" t="s">
        <v>92</v>
      </c>
      <c r="J10" s="37" t="s">
        <v>47</v>
      </c>
      <c r="K10" s="37" t="s">
        <v>93</v>
      </c>
      <c r="L10" s="37" t="s">
        <v>20</v>
      </c>
      <c r="M10" s="35" t="s">
        <v>4</v>
      </c>
      <c r="N10" s="37" t="s">
        <v>49</v>
      </c>
      <c r="O10" s="36" t="s">
        <v>50</v>
      </c>
      <c r="P10" s="13"/>
      <c r="Q10" s="16"/>
      <c r="R10" s="16"/>
      <c r="S10" s="16"/>
      <c r="T10" s="16"/>
      <c r="U10" s="16"/>
      <c r="V10" s="16"/>
      <c r="W10" s="16"/>
      <c r="X10" s="16"/>
      <c r="Y10" s="16"/>
    </row>
    <row r="11" spans="1:25" ht="60" x14ac:dyDescent="0.25">
      <c r="A11" s="15" t="s">
        <v>41</v>
      </c>
      <c r="B11" s="15">
        <v>100</v>
      </c>
      <c r="C11" s="15" t="str">
        <f t="shared" si="0"/>
        <v>MTC_00100</v>
      </c>
      <c r="D11" s="35" t="s">
        <v>94</v>
      </c>
      <c r="E11" s="35" t="s">
        <v>19</v>
      </c>
      <c r="F11" s="35" t="s">
        <v>95</v>
      </c>
      <c r="G11" s="35" t="s">
        <v>96</v>
      </c>
      <c r="H11" s="35" t="s">
        <v>97</v>
      </c>
      <c r="I11" s="35" t="s">
        <v>85</v>
      </c>
      <c r="J11" s="35" t="s">
        <v>98</v>
      </c>
      <c r="K11" s="35" t="s">
        <v>99</v>
      </c>
      <c r="L11" s="35" t="s">
        <v>20</v>
      </c>
      <c r="M11" s="35" t="s">
        <v>4</v>
      </c>
      <c r="N11" s="35" t="s">
        <v>49</v>
      </c>
      <c r="O11" s="38" t="s">
        <v>50</v>
      </c>
      <c r="P11" s="13"/>
      <c r="Q11" s="16"/>
      <c r="R11" s="16"/>
      <c r="S11" s="16"/>
      <c r="T11" s="16"/>
      <c r="U11" s="16"/>
      <c r="V11" s="16"/>
      <c r="W11" s="16"/>
      <c r="X11" s="16"/>
      <c r="Y11" s="16"/>
    </row>
    <row r="12" spans="1:25" ht="45" x14ac:dyDescent="0.25">
      <c r="A12" s="15" t="s">
        <v>41</v>
      </c>
      <c r="B12" s="15">
        <v>110</v>
      </c>
      <c r="C12" s="15" t="str">
        <f>A12&amp;"_0"&amp;B12</f>
        <v>MTC_0110</v>
      </c>
      <c r="D12" s="35" t="s">
        <v>100</v>
      </c>
      <c r="E12" s="35" t="s">
        <v>19</v>
      </c>
      <c r="F12" s="35" t="s">
        <v>101</v>
      </c>
      <c r="G12" s="35" t="s">
        <v>102</v>
      </c>
      <c r="H12" s="35" t="s">
        <v>103</v>
      </c>
      <c r="I12" s="35" t="s">
        <v>104</v>
      </c>
      <c r="J12" s="35" t="s">
        <v>98</v>
      </c>
      <c r="K12" s="35" t="s">
        <v>105</v>
      </c>
      <c r="L12" s="35" t="s">
        <v>20</v>
      </c>
      <c r="M12" s="35" t="s">
        <v>4</v>
      </c>
      <c r="N12" s="35" t="s">
        <v>49</v>
      </c>
      <c r="O12" s="38" t="s">
        <v>50</v>
      </c>
      <c r="P12" s="13"/>
      <c r="Q12" s="16"/>
      <c r="R12" s="16"/>
      <c r="S12" s="16"/>
      <c r="T12" s="16"/>
      <c r="U12" s="16"/>
      <c r="V12" s="16"/>
      <c r="W12" s="16"/>
      <c r="X12" s="16"/>
      <c r="Y12" s="16"/>
    </row>
    <row r="13" spans="1:25" ht="45" x14ac:dyDescent="0.25">
      <c r="A13" s="15" t="s">
        <v>41</v>
      </c>
      <c r="B13" s="15">
        <v>120</v>
      </c>
      <c r="C13" s="15" t="str">
        <f t="shared" ref="C13:C76" si="1">A13&amp;"_0"&amp;B13</f>
        <v>MTC_0120</v>
      </c>
      <c r="D13" s="35" t="s">
        <v>106</v>
      </c>
      <c r="E13" s="35" t="s">
        <v>19</v>
      </c>
      <c r="F13" s="35" t="s">
        <v>107</v>
      </c>
      <c r="G13" s="35" t="s">
        <v>108</v>
      </c>
      <c r="H13" s="35" t="s">
        <v>109</v>
      </c>
      <c r="I13" s="35" t="s">
        <v>110</v>
      </c>
      <c r="J13" s="35" t="s">
        <v>98</v>
      </c>
      <c r="K13" s="35" t="s">
        <v>111</v>
      </c>
      <c r="L13" s="35" t="s">
        <v>20</v>
      </c>
      <c r="M13" s="35" t="s">
        <v>4</v>
      </c>
      <c r="N13" s="35" t="s">
        <v>49</v>
      </c>
      <c r="O13" s="38" t="s">
        <v>50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60" x14ac:dyDescent="0.25">
      <c r="A14" s="15" t="s">
        <v>41</v>
      </c>
      <c r="B14" s="15">
        <v>130</v>
      </c>
      <c r="C14" s="15" t="str">
        <f t="shared" si="1"/>
        <v>MTC_0130</v>
      </c>
      <c r="D14" s="35" t="s">
        <v>112</v>
      </c>
      <c r="E14" s="35" t="s">
        <v>88</v>
      </c>
      <c r="F14" s="35" t="s">
        <v>113</v>
      </c>
      <c r="G14" s="35" t="s">
        <v>114</v>
      </c>
      <c r="H14" s="35" t="s">
        <v>115</v>
      </c>
      <c r="I14" s="35" t="s">
        <v>116</v>
      </c>
      <c r="J14" s="35" t="s">
        <v>117</v>
      </c>
      <c r="K14" s="35" t="s">
        <v>118</v>
      </c>
      <c r="L14" s="35" t="s">
        <v>20</v>
      </c>
      <c r="M14" s="35" t="s">
        <v>4</v>
      </c>
      <c r="N14" s="35" t="s">
        <v>49</v>
      </c>
      <c r="O14" s="38" t="s">
        <v>50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60" x14ac:dyDescent="0.25">
      <c r="A15" s="15" t="s">
        <v>41</v>
      </c>
      <c r="B15" s="15">
        <v>140</v>
      </c>
      <c r="C15" s="15" t="str">
        <f t="shared" si="1"/>
        <v>MTC_0140</v>
      </c>
      <c r="D15" s="35" t="s">
        <v>119</v>
      </c>
      <c r="E15" s="35" t="s">
        <v>120</v>
      </c>
      <c r="F15" s="35" t="s">
        <v>121</v>
      </c>
      <c r="G15" s="35" t="s">
        <v>122</v>
      </c>
      <c r="H15" s="35" t="s">
        <v>121</v>
      </c>
      <c r="I15" s="35" t="s">
        <v>123</v>
      </c>
      <c r="J15" s="35" t="s">
        <v>117</v>
      </c>
      <c r="K15" s="35" t="s">
        <v>124</v>
      </c>
      <c r="L15" s="35" t="s">
        <v>20</v>
      </c>
      <c r="M15" s="35" t="s">
        <v>3</v>
      </c>
      <c r="N15" s="35" t="s">
        <v>49</v>
      </c>
      <c r="O15" s="38" t="s">
        <v>50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45" x14ac:dyDescent="0.25">
      <c r="A16" s="15" t="s">
        <v>41</v>
      </c>
      <c r="B16" s="15">
        <v>150</v>
      </c>
      <c r="C16" s="15" t="str">
        <f t="shared" si="1"/>
        <v>MTC_0150</v>
      </c>
      <c r="D16" s="35" t="s">
        <v>125</v>
      </c>
      <c r="E16" s="35" t="s">
        <v>19</v>
      </c>
      <c r="F16" s="35" t="s">
        <v>126</v>
      </c>
      <c r="G16" s="35" t="s">
        <v>122</v>
      </c>
      <c r="H16" s="35" t="s">
        <v>126</v>
      </c>
      <c r="I16" s="35" t="s">
        <v>127</v>
      </c>
      <c r="J16" s="35" t="s">
        <v>117</v>
      </c>
      <c r="K16" s="35" t="s">
        <v>128</v>
      </c>
      <c r="L16" s="35" t="s">
        <v>20</v>
      </c>
      <c r="M16" s="35" t="s">
        <v>4</v>
      </c>
      <c r="N16" s="35" t="s">
        <v>49</v>
      </c>
      <c r="O16" s="39" t="s">
        <v>50</v>
      </c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60" x14ac:dyDescent="0.25">
      <c r="A17" s="15" t="s">
        <v>41</v>
      </c>
      <c r="B17" s="15">
        <v>160</v>
      </c>
      <c r="C17" s="15" t="str">
        <f t="shared" si="1"/>
        <v>MTC_0160</v>
      </c>
      <c r="D17" s="35" t="s">
        <v>129</v>
      </c>
      <c r="E17" s="35" t="s">
        <v>120</v>
      </c>
      <c r="F17" s="35" t="s">
        <v>130</v>
      </c>
      <c r="G17" s="35" t="s">
        <v>76</v>
      </c>
      <c r="H17" s="35" t="s">
        <v>131</v>
      </c>
      <c r="I17" s="35" t="s">
        <v>132</v>
      </c>
      <c r="J17" s="35" t="s">
        <v>98</v>
      </c>
      <c r="K17" s="35" t="s">
        <v>133</v>
      </c>
      <c r="L17" s="35" t="s">
        <v>20</v>
      </c>
      <c r="M17" s="35" t="s">
        <v>4</v>
      </c>
      <c r="N17" s="35" t="s">
        <v>80</v>
      </c>
      <c r="O17" s="38" t="s">
        <v>50</v>
      </c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60" x14ac:dyDescent="0.25">
      <c r="A18" s="15" t="s">
        <v>41</v>
      </c>
      <c r="B18" s="15">
        <v>170</v>
      </c>
      <c r="C18" s="15" t="str">
        <f t="shared" si="1"/>
        <v>MTC_0170</v>
      </c>
      <c r="D18" s="35" t="s">
        <v>134</v>
      </c>
      <c r="E18" s="35" t="s">
        <v>19</v>
      </c>
      <c r="F18" s="35" t="s">
        <v>135</v>
      </c>
      <c r="G18" s="35" t="s">
        <v>136</v>
      </c>
      <c r="H18" s="35" t="s">
        <v>135</v>
      </c>
      <c r="I18" s="35" t="s">
        <v>137</v>
      </c>
      <c r="J18" s="35" t="s">
        <v>138</v>
      </c>
      <c r="K18" s="35" t="s">
        <v>139</v>
      </c>
      <c r="L18" s="35" t="s">
        <v>20</v>
      </c>
      <c r="M18" s="35" t="s">
        <v>4</v>
      </c>
      <c r="N18" s="40" t="s">
        <v>7</v>
      </c>
      <c r="O18" s="36" t="s">
        <v>50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45" x14ac:dyDescent="0.25">
      <c r="A19" s="15" t="s">
        <v>41</v>
      </c>
      <c r="B19" s="15">
        <v>180</v>
      </c>
      <c r="C19" s="15" t="str">
        <f t="shared" si="1"/>
        <v>MTC_0180</v>
      </c>
      <c r="D19" s="35" t="s">
        <v>140</v>
      </c>
      <c r="E19" s="35" t="s">
        <v>19</v>
      </c>
      <c r="F19" s="35" t="s">
        <v>141</v>
      </c>
      <c r="G19" s="35" t="s">
        <v>142</v>
      </c>
      <c r="H19" s="35" t="s">
        <v>143</v>
      </c>
      <c r="I19" s="35" t="s">
        <v>144</v>
      </c>
      <c r="J19" s="35" t="s">
        <v>138</v>
      </c>
      <c r="K19" s="35" t="s">
        <v>145</v>
      </c>
      <c r="L19" s="35" t="s">
        <v>20</v>
      </c>
      <c r="M19" s="35" t="s">
        <v>4</v>
      </c>
      <c r="N19" s="41" t="s">
        <v>7</v>
      </c>
      <c r="O19" s="36" t="s">
        <v>50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210" x14ac:dyDescent="0.25">
      <c r="A20" s="15" t="s">
        <v>41</v>
      </c>
      <c r="B20" s="15">
        <v>190</v>
      </c>
      <c r="C20" s="15" t="str">
        <f t="shared" si="1"/>
        <v>MTC_0190</v>
      </c>
      <c r="D20" s="35" t="s">
        <v>146</v>
      </c>
      <c r="E20" s="35" t="s">
        <v>19</v>
      </c>
      <c r="F20" s="35" t="s">
        <v>147</v>
      </c>
      <c r="G20" s="35" t="s">
        <v>148</v>
      </c>
      <c r="H20" s="35" t="s">
        <v>149</v>
      </c>
      <c r="I20" s="35" t="s">
        <v>150</v>
      </c>
      <c r="J20" s="35" t="s">
        <v>138</v>
      </c>
      <c r="K20" s="35" t="s">
        <v>151</v>
      </c>
      <c r="L20" s="35" t="s">
        <v>20</v>
      </c>
      <c r="M20" s="35" t="s">
        <v>4</v>
      </c>
      <c r="N20" s="41" t="s">
        <v>7</v>
      </c>
      <c r="O20" s="36" t="s">
        <v>50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60" x14ac:dyDescent="0.25">
      <c r="A21" s="15" t="s">
        <v>41</v>
      </c>
      <c r="B21" s="15">
        <v>200</v>
      </c>
      <c r="C21" s="15" t="str">
        <f t="shared" si="1"/>
        <v>MTC_0200</v>
      </c>
      <c r="D21" s="35" t="s">
        <v>152</v>
      </c>
      <c r="E21" s="35" t="s">
        <v>19</v>
      </c>
      <c r="F21" s="35" t="s">
        <v>153</v>
      </c>
      <c r="G21" s="35" t="s">
        <v>154</v>
      </c>
      <c r="H21" s="35" t="s">
        <v>155</v>
      </c>
      <c r="I21" s="35" t="s">
        <v>156</v>
      </c>
      <c r="J21" s="35" t="s">
        <v>138</v>
      </c>
      <c r="K21" s="35" t="s">
        <v>157</v>
      </c>
      <c r="L21" s="35" t="s">
        <v>20</v>
      </c>
      <c r="M21" s="35" t="s">
        <v>3</v>
      </c>
      <c r="N21" s="41" t="s">
        <v>7</v>
      </c>
      <c r="O21" s="36" t="s">
        <v>50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05" x14ac:dyDescent="0.25">
      <c r="A22" s="15" t="s">
        <v>41</v>
      </c>
      <c r="B22" s="15">
        <v>210</v>
      </c>
      <c r="C22" s="15" t="str">
        <f t="shared" si="1"/>
        <v>MTC_0210</v>
      </c>
      <c r="D22" s="35" t="s">
        <v>158</v>
      </c>
      <c r="E22" s="35" t="s">
        <v>19</v>
      </c>
      <c r="F22" s="35" t="s">
        <v>159</v>
      </c>
      <c r="G22" s="35" t="s">
        <v>160</v>
      </c>
      <c r="H22" s="35" t="s">
        <v>161</v>
      </c>
      <c r="I22" s="35" t="s">
        <v>162</v>
      </c>
      <c r="J22" s="35" t="s">
        <v>138</v>
      </c>
      <c r="K22" s="35" t="s">
        <v>163</v>
      </c>
      <c r="L22" s="35" t="s">
        <v>20</v>
      </c>
      <c r="M22" s="35" t="s">
        <v>3</v>
      </c>
      <c r="N22" s="41" t="s">
        <v>7</v>
      </c>
      <c r="O22" s="36" t="s">
        <v>50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45" x14ac:dyDescent="0.25">
      <c r="A23" s="15" t="s">
        <v>41</v>
      </c>
      <c r="B23" s="15">
        <v>220</v>
      </c>
      <c r="C23" s="15" t="str">
        <f t="shared" si="1"/>
        <v>MTC_0220</v>
      </c>
      <c r="D23" s="35" t="s">
        <v>164</v>
      </c>
      <c r="E23" s="35" t="s">
        <v>19</v>
      </c>
      <c r="F23" s="35" t="s">
        <v>165</v>
      </c>
      <c r="G23" s="35" t="s">
        <v>166</v>
      </c>
      <c r="H23" s="35" t="s">
        <v>167</v>
      </c>
      <c r="I23" s="35" t="s">
        <v>168</v>
      </c>
      <c r="J23" s="35" t="s">
        <v>138</v>
      </c>
      <c r="K23" s="35" t="s">
        <v>169</v>
      </c>
      <c r="L23" s="35" t="s">
        <v>20</v>
      </c>
      <c r="M23" s="35" t="s">
        <v>3</v>
      </c>
      <c r="N23" s="41" t="s">
        <v>7</v>
      </c>
      <c r="O23" s="36" t="s">
        <v>50</v>
      </c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45" x14ac:dyDescent="0.25">
      <c r="A24" s="15" t="s">
        <v>41</v>
      </c>
      <c r="B24" s="15">
        <v>230</v>
      </c>
      <c r="C24" s="15" t="str">
        <f t="shared" si="1"/>
        <v>MTC_0230</v>
      </c>
      <c r="D24" s="35" t="s">
        <v>170</v>
      </c>
      <c r="E24" s="35" t="s">
        <v>120</v>
      </c>
      <c r="F24" s="35" t="s">
        <v>171</v>
      </c>
      <c r="G24" s="35" t="s">
        <v>76</v>
      </c>
      <c r="H24" s="35" t="s">
        <v>172</v>
      </c>
      <c r="I24" s="35" t="s">
        <v>173</v>
      </c>
      <c r="J24" s="35" t="s">
        <v>138</v>
      </c>
      <c r="K24" s="35" t="s">
        <v>174</v>
      </c>
      <c r="L24" s="35" t="s">
        <v>20</v>
      </c>
      <c r="M24" s="35" t="s">
        <v>4</v>
      </c>
      <c r="N24" s="41" t="s">
        <v>7</v>
      </c>
      <c r="O24" s="36" t="s">
        <v>50</v>
      </c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60" x14ac:dyDescent="0.25">
      <c r="A25" s="15" t="s">
        <v>41</v>
      </c>
      <c r="B25" s="15">
        <v>240</v>
      </c>
      <c r="C25" s="15" t="str">
        <f t="shared" si="1"/>
        <v>MTC_0240</v>
      </c>
      <c r="D25" s="35" t="s">
        <v>175</v>
      </c>
      <c r="E25" s="35" t="s">
        <v>19</v>
      </c>
      <c r="F25" s="35" t="s">
        <v>176</v>
      </c>
      <c r="G25" s="35" t="s">
        <v>177</v>
      </c>
      <c r="H25" s="35" t="s">
        <v>176</v>
      </c>
      <c r="I25" s="35" t="s">
        <v>178</v>
      </c>
      <c r="J25" s="35" t="s">
        <v>138</v>
      </c>
      <c r="K25" s="35" t="s">
        <v>179</v>
      </c>
      <c r="L25" s="35" t="s">
        <v>20</v>
      </c>
      <c r="M25" s="35" t="s">
        <v>4</v>
      </c>
      <c r="N25" s="41" t="s">
        <v>7</v>
      </c>
      <c r="O25" s="36" t="s">
        <v>50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60" x14ac:dyDescent="0.25">
      <c r="A26" s="15" t="s">
        <v>41</v>
      </c>
      <c r="B26" s="15">
        <v>250</v>
      </c>
      <c r="C26" s="15" t="str">
        <f t="shared" si="1"/>
        <v>MTC_0250</v>
      </c>
      <c r="D26" s="35" t="s">
        <v>180</v>
      </c>
      <c r="E26" s="35" t="s">
        <v>19</v>
      </c>
      <c r="F26" s="35" t="s">
        <v>181</v>
      </c>
      <c r="G26" s="35" t="s">
        <v>182</v>
      </c>
      <c r="H26" s="35" t="s">
        <v>181</v>
      </c>
      <c r="I26" s="35" t="s">
        <v>183</v>
      </c>
      <c r="J26" s="35" t="s">
        <v>138</v>
      </c>
      <c r="K26" s="35" t="s">
        <v>184</v>
      </c>
      <c r="L26" s="35" t="s">
        <v>20</v>
      </c>
      <c r="M26" s="35" t="s">
        <v>3</v>
      </c>
      <c r="N26" s="41" t="s">
        <v>7</v>
      </c>
      <c r="O26" s="36" t="s">
        <v>50</v>
      </c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60" x14ac:dyDescent="0.25">
      <c r="A27" s="15" t="s">
        <v>41</v>
      </c>
      <c r="B27" s="15">
        <v>260</v>
      </c>
      <c r="C27" s="15" t="str">
        <f t="shared" si="1"/>
        <v>MTC_0260</v>
      </c>
      <c r="D27" s="42" t="s">
        <v>185</v>
      </c>
      <c r="E27" s="37" t="s">
        <v>19</v>
      </c>
      <c r="F27" s="42" t="s">
        <v>186</v>
      </c>
      <c r="G27" s="42" t="s">
        <v>187</v>
      </c>
      <c r="H27" s="42" t="s">
        <v>186</v>
      </c>
      <c r="I27" s="42" t="s">
        <v>188</v>
      </c>
      <c r="J27" s="42" t="s">
        <v>189</v>
      </c>
      <c r="K27" s="42" t="s">
        <v>190</v>
      </c>
      <c r="L27" s="37" t="s">
        <v>20</v>
      </c>
      <c r="M27" s="35" t="s">
        <v>4</v>
      </c>
      <c r="N27" s="43" t="s">
        <v>6</v>
      </c>
      <c r="O27" s="36" t="s">
        <v>50</v>
      </c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60" x14ac:dyDescent="0.25">
      <c r="A28" s="15" t="s">
        <v>41</v>
      </c>
      <c r="B28" s="15">
        <v>270</v>
      </c>
      <c r="C28" s="15" t="str">
        <f t="shared" si="1"/>
        <v>MTC_0270</v>
      </c>
      <c r="D28" s="35" t="s">
        <v>191</v>
      </c>
      <c r="E28" s="35" t="s">
        <v>19</v>
      </c>
      <c r="F28" s="35" t="s">
        <v>192</v>
      </c>
      <c r="G28" s="35" t="s">
        <v>193</v>
      </c>
      <c r="H28" s="35" t="s">
        <v>194</v>
      </c>
      <c r="I28" s="35" t="s">
        <v>195</v>
      </c>
      <c r="J28" s="35" t="s">
        <v>196</v>
      </c>
      <c r="K28" s="35" t="s">
        <v>197</v>
      </c>
      <c r="L28" s="35" t="s">
        <v>20</v>
      </c>
      <c r="M28" s="35" t="s">
        <v>4</v>
      </c>
      <c r="N28" s="35" t="s">
        <v>49</v>
      </c>
      <c r="O28" s="38" t="s">
        <v>50</v>
      </c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45" x14ac:dyDescent="0.25">
      <c r="A29" s="15" t="s">
        <v>41</v>
      </c>
      <c r="B29" s="15">
        <v>280</v>
      </c>
      <c r="C29" s="15" t="str">
        <f t="shared" si="1"/>
        <v>MTC_0280</v>
      </c>
      <c r="D29" s="35" t="s">
        <v>198</v>
      </c>
      <c r="E29" s="35" t="s">
        <v>19</v>
      </c>
      <c r="F29" s="35" t="s">
        <v>199</v>
      </c>
      <c r="G29" s="35" t="s">
        <v>200</v>
      </c>
      <c r="H29" s="35" t="s">
        <v>201</v>
      </c>
      <c r="I29" s="35" t="s">
        <v>202</v>
      </c>
      <c r="J29" s="35" t="s">
        <v>196</v>
      </c>
      <c r="K29" s="35" t="s">
        <v>203</v>
      </c>
      <c r="L29" s="35" t="s">
        <v>20</v>
      </c>
      <c r="M29" s="35" t="s">
        <v>4</v>
      </c>
      <c r="N29" s="35" t="s">
        <v>49</v>
      </c>
      <c r="O29" s="38" t="s">
        <v>50</v>
      </c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90" x14ac:dyDescent="0.25">
      <c r="A30" s="15" t="s">
        <v>41</v>
      </c>
      <c r="B30" s="15">
        <v>290</v>
      </c>
      <c r="C30" s="15" t="str">
        <f t="shared" si="1"/>
        <v>MTC_0290</v>
      </c>
      <c r="D30" s="35" t="s">
        <v>204</v>
      </c>
      <c r="E30" s="35" t="s">
        <v>19</v>
      </c>
      <c r="F30" s="35" t="s">
        <v>205</v>
      </c>
      <c r="G30" s="35" t="s">
        <v>206</v>
      </c>
      <c r="H30" s="35" t="s">
        <v>207</v>
      </c>
      <c r="I30" s="35" t="s">
        <v>208</v>
      </c>
      <c r="J30" s="35" t="s">
        <v>196</v>
      </c>
      <c r="K30" s="35" t="s">
        <v>209</v>
      </c>
      <c r="L30" s="35" t="s">
        <v>20</v>
      </c>
      <c r="M30" s="35" t="s">
        <v>4</v>
      </c>
      <c r="N30" s="35" t="s">
        <v>49</v>
      </c>
      <c r="O30" s="38" t="s">
        <v>50</v>
      </c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75" x14ac:dyDescent="0.25">
      <c r="A31" s="15" t="s">
        <v>41</v>
      </c>
      <c r="B31" s="15">
        <v>300</v>
      </c>
      <c r="C31" s="15" t="str">
        <f t="shared" si="1"/>
        <v>MTC_0300</v>
      </c>
      <c r="D31" s="35" t="s">
        <v>210</v>
      </c>
      <c r="E31" s="35" t="s">
        <v>19</v>
      </c>
      <c r="F31" s="35" t="s">
        <v>211</v>
      </c>
      <c r="G31" s="35" t="s">
        <v>212</v>
      </c>
      <c r="H31" s="35" t="s">
        <v>211</v>
      </c>
      <c r="I31" s="35" t="s">
        <v>213</v>
      </c>
      <c r="J31" s="35" t="s">
        <v>196</v>
      </c>
      <c r="K31" s="35" t="s">
        <v>214</v>
      </c>
      <c r="L31" s="35" t="s">
        <v>20</v>
      </c>
      <c r="M31" s="35" t="s">
        <v>4</v>
      </c>
      <c r="N31" s="35" t="s">
        <v>49</v>
      </c>
      <c r="O31" s="38" t="s">
        <v>50</v>
      </c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60" x14ac:dyDescent="0.25">
      <c r="A32" s="15" t="s">
        <v>41</v>
      </c>
      <c r="B32" s="15">
        <v>310</v>
      </c>
      <c r="C32" s="15" t="str">
        <f t="shared" si="1"/>
        <v>MTC_0310</v>
      </c>
      <c r="D32" s="35" t="s">
        <v>215</v>
      </c>
      <c r="E32" s="35" t="s">
        <v>19</v>
      </c>
      <c r="F32" s="35" t="s">
        <v>216</v>
      </c>
      <c r="G32" s="35" t="s">
        <v>217</v>
      </c>
      <c r="H32" s="35" t="s">
        <v>218</v>
      </c>
      <c r="I32" s="35" t="s">
        <v>219</v>
      </c>
      <c r="J32" s="35" t="s">
        <v>196</v>
      </c>
      <c r="K32" s="35" t="s">
        <v>220</v>
      </c>
      <c r="L32" s="35" t="s">
        <v>20</v>
      </c>
      <c r="M32" s="35" t="s">
        <v>4</v>
      </c>
      <c r="N32" s="35" t="s">
        <v>49</v>
      </c>
      <c r="O32" s="38" t="s">
        <v>50</v>
      </c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60" x14ac:dyDescent="0.25">
      <c r="A33" s="15" t="s">
        <v>41</v>
      </c>
      <c r="B33" s="15">
        <v>320</v>
      </c>
      <c r="C33" s="15" t="str">
        <f t="shared" si="1"/>
        <v>MTC_0320</v>
      </c>
      <c r="D33" s="35" t="s">
        <v>221</v>
      </c>
      <c r="E33" s="35" t="s">
        <v>19</v>
      </c>
      <c r="F33" s="35" t="s">
        <v>222</v>
      </c>
      <c r="G33" s="35" t="s">
        <v>223</v>
      </c>
      <c r="H33" s="35" t="s">
        <v>224</v>
      </c>
      <c r="I33" s="35" t="s">
        <v>225</v>
      </c>
      <c r="J33" s="35" t="s">
        <v>196</v>
      </c>
      <c r="K33" s="35" t="s">
        <v>226</v>
      </c>
      <c r="L33" s="35" t="s">
        <v>20</v>
      </c>
      <c r="M33" s="35" t="s">
        <v>4</v>
      </c>
      <c r="N33" s="35" t="s">
        <v>49</v>
      </c>
      <c r="O33" s="38" t="s">
        <v>50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75" x14ac:dyDescent="0.25">
      <c r="A34" s="15" t="s">
        <v>41</v>
      </c>
      <c r="B34" s="15">
        <v>330</v>
      </c>
      <c r="C34" s="15" t="str">
        <f t="shared" si="1"/>
        <v>MTC_0330</v>
      </c>
      <c r="D34" s="35" t="s">
        <v>227</v>
      </c>
      <c r="E34" s="35" t="s">
        <v>19</v>
      </c>
      <c r="F34" s="35" t="s">
        <v>228</v>
      </c>
      <c r="G34" s="35" t="s">
        <v>229</v>
      </c>
      <c r="H34" s="35" t="s">
        <v>230</v>
      </c>
      <c r="I34" s="35" t="s">
        <v>231</v>
      </c>
      <c r="J34" s="35" t="s">
        <v>196</v>
      </c>
      <c r="K34" s="35" t="s">
        <v>232</v>
      </c>
      <c r="L34" s="35" t="s">
        <v>20</v>
      </c>
      <c r="M34" s="35" t="s">
        <v>4</v>
      </c>
      <c r="N34" s="35" t="s">
        <v>49</v>
      </c>
      <c r="O34" s="38" t="s">
        <v>50</v>
      </c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05" x14ac:dyDescent="0.25">
      <c r="A35" s="15" t="s">
        <v>41</v>
      </c>
      <c r="B35" s="15">
        <v>340</v>
      </c>
      <c r="C35" s="15" t="str">
        <f t="shared" si="1"/>
        <v>MTC_0340</v>
      </c>
      <c r="D35" s="35" t="s">
        <v>233</v>
      </c>
      <c r="E35" s="35" t="s">
        <v>120</v>
      </c>
      <c r="F35" s="35" t="s">
        <v>234</v>
      </c>
      <c r="G35" s="35" t="s">
        <v>235</v>
      </c>
      <c r="H35" s="35" t="s">
        <v>236</v>
      </c>
      <c r="I35" s="35" t="s">
        <v>237</v>
      </c>
      <c r="J35" s="35" t="s">
        <v>196</v>
      </c>
      <c r="K35" s="35" t="s">
        <v>238</v>
      </c>
      <c r="L35" s="35" t="s">
        <v>20</v>
      </c>
      <c r="M35" s="35" t="s">
        <v>4</v>
      </c>
      <c r="N35" s="35" t="s">
        <v>49</v>
      </c>
      <c r="O35" s="38" t="s">
        <v>50</v>
      </c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60" x14ac:dyDescent="0.25">
      <c r="A36" s="15" t="s">
        <v>41</v>
      </c>
      <c r="B36" s="15">
        <v>350</v>
      </c>
      <c r="C36" s="15" t="str">
        <f t="shared" si="1"/>
        <v>MTC_0350</v>
      </c>
      <c r="D36" s="35" t="s">
        <v>239</v>
      </c>
      <c r="E36" s="35" t="s">
        <v>19</v>
      </c>
      <c r="F36" s="35" t="s">
        <v>240</v>
      </c>
      <c r="G36" s="35" t="s">
        <v>241</v>
      </c>
      <c r="H36" s="35" t="s">
        <v>242</v>
      </c>
      <c r="I36" s="35" t="s">
        <v>243</v>
      </c>
      <c r="J36" s="35" t="s">
        <v>196</v>
      </c>
      <c r="K36" s="35" t="s">
        <v>244</v>
      </c>
      <c r="L36" s="35" t="s">
        <v>20</v>
      </c>
      <c r="M36" s="35" t="s">
        <v>4</v>
      </c>
      <c r="N36" s="35" t="s">
        <v>49</v>
      </c>
      <c r="O36" s="38" t="s">
        <v>50</v>
      </c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05" x14ac:dyDescent="0.25">
      <c r="A37" s="15" t="s">
        <v>41</v>
      </c>
      <c r="B37" s="15">
        <v>360</v>
      </c>
      <c r="C37" s="15" t="str">
        <f t="shared" si="1"/>
        <v>MTC_0360</v>
      </c>
      <c r="D37" s="37" t="s">
        <v>245</v>
      </c>
      <c r="E37" s="37" t="s">
        <v>88</v>
      </c>
      <c r="F37" s="37" t="s">
        <v>246</v>
      </c>
      <c r="G37" s="37" t="s">
        <v>247</v>
      </c>
      <c r="H37" s="37" t="s">
        <v>248</v>
      </c>
      <c r="I37" s="37" t="s">
        <v>249</v>
      </c>
      <c r="J37" s="37" t="s">
        <v>196</v>
      </c>
      <c r="K37" s="37" t="s">
        <v>250</v>
      </c>
      <c r="L37" s="37" t="s">
        <v>20</v>
      </c>
      <c r="M37" s="35" t="s">
        <v>4</v>
      </c>
      <c r="N37" s="37" t="s">
        <v>80</v>
      </c>
      <c r="O37" s="38" t="s">
        <v>50</v>
      </c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75" x14ac:dyDescent="0.25">
      <c r="A38" s="15" t="s">
        <v>41</v>
      </c>
      <c r="B38" s="15">
        <v>370</v>
      </c>
      <c r="C38" s="15" t="str">
        <f t="shared" si="1"/>
        <v>MTC_0370</v>
      </c>
      <c r="D38" s="35" t="s">
        <v>251</v>
      </c>
      <c r="E38" s="35" t="s">
        <v>19</v>
      </c>
      <c r="F38" s="35" t="s">
        <v>252</v>
      </c>
      <c r="G38" s="35" t="s">
        <v>253</v>
      </c>
      <c r="H38" s="35" t="s">
        <v>254</v>
      </c>
      <c r="I38" s="35" t="s">
        <v>255</v>
      </c>
      <c r="J38" s="35" t="s">
        <v>256</v>
      </c>
      <c r="K38" s="35" t="s">
        <v>257</v>
      </c>
      <c r="L38" s="35" t="s">
        <v>20</v>
      </c>
      <c r="M38" s="35" t="s">
        <v>4</v>
      </c>
      <c r="N38" s="35" t="s">
        <v>49</v>
      </c>
      <c r="O38" s="38" t="s">
        <v>50</v>
      </c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60" x14ac:dyDescent="0.25">
      <c r="A39" s="15" t="s">
        <v>41</v>
      </c>
      <c r="B39" s="15">
        <v>380</v>
      </c>
      <c r="C39" s="15" t="str">
        <f t="shared" si="1"/>
        <v>MTC_0380</v>
      </c>
      <c r="D39" s="35" t="s">
        <v>258</v>
      </c>
      <c r="E39" s="35" t="s">
        <v>19</v>
      </c>
      <c r="F39" s="35" t="s">
        <v>259</v>
      </c>
      <c r="G39" s="35" t="s">
        <v>260</v>
      </c>
      <c r="H39" s="35" t="s">
        <v>261</v>
      </c>
      <c r="I39" s="35" t="s">
        <v>262</v>
      </c>
      <c r="J39" s="35" t="s">
        <v>256</v>
      </c>
      <c r="K39" s="35" t="s">
        <v>263</v>
      </c>
      <c r="L39" s="35" t="s">
        <v>20</v>
      </c>
      <c r="M39" s="35" t="s">
        <v>4</v>
      </c>
      <c r="N39" s="35" t="s">
        <v>49</v>
      </c>
      <c r="O39" s="38" t="s">
        <v>50</v>
      </c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75" x14ac:dyDescent="0.25">
      <c r="A40" s="15" t="s">
        <v>41</v>
      </c>
      <c r="B40" s="15">
        <v>390</v>
      </c>
      <c r="C40" s="15" t="str">
        <f t="shared" si="1"/>
        <v>MTC_0390</v>
      </c>
      <c r="D40" s="35" t="s">
        <v>264</v>
      </c>
      <c r="E40" s="35" t="s">
        <v>265</v>
      </c>
      <c r="F40" s="35" t="s">
        <v>266</v>
      </c>
      <c r="G40" s="35" t="s">
        <v>267</v>
      </c>
      <c r="H40" s="35" t="s">
        <v>268</v>
      </c>
      <c r="I40" s="35" t="s">
        <v>269</v>
      </c>
      <c r="J40" s="35" t="s">
        <v>256</v>
      </c>
      <c r="K40" s="35" t="s">
        <v>270</v>
      </c>
      <c r="L40" s="35" t="s">
        <v>20</v>
      </c>
      <c r="M40" s="35" t="s">
        <v>4</v>
      </c>
      <c r="N40" s="35" t="s">
        <v>80</v>
      </c>
      <c r="O40" s="38" t="s">
        <v>50</v>
      </c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60" x14ac:dyDescent="0.25">
      <c r="A41" s="15" t="s">
        <v>41</v>
      </c>
      <c r="B41" s="15">
        <v>400</v>
      </c>
      <c r="C41" s="15" t="str">
        <f t="shared" si="1"/>
        <v>MTC_0400</v>
      </c>
      <c r="D41" s="35" t="s">
        <v>271</v>
      </c>
      <c r="E41" s="35" t="s">
        <v>19</v>
      </c>
      <c r="F41" s="35" t="s">
        <v>272</v>
      </c>
      <c r="G41" s="35" t="s">
        <v>273</v>
      </c>
      <c r="H41" s="35" t="s">
        <v>274</v>
      </c>
      <c r="I41" s="35" t="s">
        <v>275</v>
      </c>
      <c r="J41" s="35" t="s">
        <v>256</v>
      </c>
      <c r="K41" s="35" t="s">
        <v>276</v>
      </c>
      <c r="L41" s="35" t="s">
        <v>20</v>
      </c>
      <c r="M41" s="35" t="s">
        <v>4</v>
      </c>
      <c r="N41" s="35" t="s">
        <v>80</v>
      </c>
      <c r="O41" s="38" t="s">
        <v>50</v>
      </c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75" x14ac:dyDescent="0.25">
      <c r="A42" s="15" t="s">
        <v>41</v>
      </c>
      <c r="B42" s="15">
        <v>410</v>
      </c>
      <c r="C42" s="15" t="str">
        <f t="shared" si="1"/>
        <v>MTC_0410</v>
      </c>
      <c r="D42" s="35" t="s">
        <v>277</v>
      </c>
      <c r="E42" s="35" t="s">
        <v>19</v>
      </c>
      <c r="F42" s="35" t="s">
        <v>278</v>
      </c>
      <c r="G42" s="35" t="s">
        <v>279</v>
      </c>
      <c r="H42" s="35" t="s">
        <v>280</v>
      </c>
      <c r="I42" s="35" t="s">
        <v>281</v>
      </c>
      <c r="J42" s="35" t="s">
        <v>256</v>
      </c>
      <c r="K42" s="35" t="s">
        <v>282</v>
      </c>
      <c r="L42" s="35" t="s">
        <v>20</v>
      </c>
      <c r="M42" s="35" t="s">
        <v>4</v>
      </c>
      <c r="N42" s="35" t="s">
        <v>49</v>
      </c>
      <c r="O42" s="38" t="s">
        <v>50</v>
      </c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60" x14ac:dyDescent="0.25">
      <c r="A43" s="15" t="s">
        <v>41</v>
      </c>
      <c r="B43" s="15">
        <v>420</v>
      </c>
      <c r="C43" s="15" t="str">
        <f t="shared" si="1"/>
        <v>MTC_0420</v>
      </c>
      <c r="D43" s="35" t="s">
        <v>283</v>
      </c>
      <c r="E43" s="35" t="s">
        <v>19</v>
      </c>
      <c r="F43" s="35" t="s">
        <v>284</v>
      </c>
      <c r="G43" s="35" t="s">
        <v>285</v>
      </c>
      <c r="H43" s="35" t="s">
        <v>286</v>
      </c>
      <c r="I43" s="35" t="s">
        <v>287</v>
      </c>
      <c r="J43" s="35" t="s">
        <v>256</v>
      </c>
      <c r="K43" s="35" t="s">
        <v>288</v>
      </c>
      <c r="L43" s="35" t="s">
        <v>20</v>
      </c>
      <c r="M43" s="35" t="s">
        <v>4</v>
      </c>
      <c r="N43" s="35" t="s">
        <v>49</v>
      </c>
      <c r="O43" s="38" t="s">
        <v>50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60" x14ac:dyDescent="0.25">
      <c r="A44" s="15" t="s">
        <v>41</v>
      </c>
      <c r="B44" s="15">
        <v>430</v>
      </c>
      <c r="C44" s="15" t="str">
        <f t="shared" si="1"/>
        <v>MTC_0430</v>
      </c>
      <c r="D44" s="35" t="s">
        <v>289</v>
      </c>
      <c r="E44" s="35" t="s">
        <v>265</v>
      </c>
      <c r="F44" s="35" t="s">
        <v>290</v>
      </c>
      <c r="G44" s="35" t="s">
        <v>291</v>
      </c>
      <c r="H44" s="35" t="s">
        <v>292</v>
      </c>
      <c r="I44" s="35" t="s">
        <v>293</v>
      </c>
      <c r="J44" s="35" t="s">
        <v>256</v>
      </c>
      <c r="K44" s="35" t="s">
        <v>294</v>
      </c>
      <c r="L44" s="35" t="s">
        <v>20</v>
      </c>
      <c r="M44" s="35" t="s">
        <v>4</v>
      </c>
      <c r="N44" s="35" t="s">
        <v>80</v>
      </c>
      <c r="O44" s="38" t="s">
        <v>50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75" x14ac:dyDescent="0.25">
      <c r="A45" s="15" t="s">
        <v>41</v>
      </c>
      <c r="B45" s="15">
        <v>440</v>
      </c>
      <c r="C45" s="15" t="str">
        <f t="shared" si="1"/>
        <v>MTC_0440</v>
      </c>
      <c r="D45" s="37" t="s">
        <v>295</v>
      </c>
      <c r="E45" s="37" t="s">
        <v>120</v>
      </c>
      <c r="F45" s="37" t="s">
        <v>296</v>
      </c>
      <c r="G45" s="37" t="s">
        <v>297</v>
      </c>
      <c r="H45" s="37" t="s">
        <v>298</v>
      </c>
      <c r="I45" s="37" t="s">
        <v>299</v>
      </c>
      <c r="J45" s="37" t="s">
        <v>256</v>
      </c>
      <c r="K45" s="37" t="s">
        <v>300</v>
      </c>
      <c r="L45" s="37" t="s">
        <v>20</v>
      </c>
      <c r="M45" s="35" t="s">
        <v>4</v>
      </c>
      <c r="N45" s="37" t="s">
        <v>49</v>
      </c>
      <c r="O45" s="38" t="s">
        <v>50</v>
      </c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45" x14ac:dyDescent="0.25">
      <c r="A46" s="15" t="s">
        <v>41</v>
      </c>
      <c r="B46" s="15">
        <v>450</v>
      </c>
      <c r="C46" s="15" t="str">
        <f t="shared" si="1"/>
        <v>MTC_0450</v>
      </c>
      <c r="D46" s="35" t="s">
        <v>301</v>
      </c>
      <c r="E46" s="35" t="s">
        <v>19</v>
      </c>
      <c r="F46" s="35" t="s">
        <v>302</v>
      </c>
      <c r="G46" s="35" t="s">
        <v>217</v>
      </c>
      <c r="H46" s="35" t="s">
        <v>302</v>
      </c>
      <c r="I46" s="35" t="s">
        <v>303</v>
      </c>
      <c r="J46" s="35" t="s">
        <v>304</v>
      </c>
      <c r="K46" s="35" t="s">
        <v>305</v>
      </c>
      <c r="L46" s="35" t="s">
        <v>20</v>
      </c>
      <c r="M46" s="35" t="s">
        <v>4</v>
      </c>
      <c r="N46" s="35" t="s">
        <v>49</v>
      </c>
      <c r="O46" s="38" t="s">
        <v>50</v>
      </c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75" x14ac:dyDescent="0.25">
      <c r="A47" s="15" t="s">
        <v>41</v>
      </c>
      <c r="B47" s="15">
        <v>460</v>
      </c>
      <c r="C47" s="15" t="str">
        <f t="shared" si="1"/>
        <v>MTC_0460</v>
      </c>
      <c r="D47" s="35" t="s">
        <v>306</v>
      </c>
      <c r="E47" s="35" t="s">
        <v>19</v>
      </c>
      <c r="F47" s="35" t="s">
        <v>307</v>
      </c>
      <c r="G47" s="35" t="s">
        <v>217</v>
      </c>
      <c r="H47" s="35" t="s">
        <v>308</v>
      </c>
      <c r="I47" s="35" t="s">
        <v>309</v>
      </c>
      <c r="J47" s="35" t="s">
        <v>304</v>
      </c>
      <c r="K47" s="35" t="s">
        <v>310</v>
      </c>
      <c r="L47" s="35" t="s">
        <v>20</v>
      </c>
      <c r="M47" s="35" t="s">
        <v>4</v>
      </c>
      <c r="N47" s="35" t="s">
        <v>49</v>
      </c>
      <c r="O47" s="38" t="s">
        <v>50</v>
      </c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75" x14ac:dyDescent="0.25">
      <c r="A48" s="15" t="s">
        <v>41</v>
      </c>
      <c r="B48" s="15">
        <v>470</v>
      </c>
      <c r="C48" s="15" t="str">
        <f t="shared" si="1"/>
        <v>MTC_0470</v>
      </c>
      <c r="D48" s="35" t="s">
        <v>311</v>
      </c>
      <c r="E48" s="35" t="s">
        <v>19</v>
      </c>
      <c r="F48" s="35" t="s">
        <v>312</v>
      </c>
      <c r="G48" s="35" t="s">
        <v>217</v>
      </c>
      <c r="H48" s="35" t="s">
        <v>313</v>
      </c>
      <c r="I48" s="35" t="s">
        <v>314</v>
      </c>
      <c r="J48" s="35" t="s">
        <v>304</v>
      </c>
      <c r="K48" s="35" t="s">
        <v>315</v>
      </c>
      <c r="L48" s="35" t="s">
        <v>20</v>
      </c>
      <c r="M48" s="35" t="s">
        <v>4</v>
      </c>
      <c r="N48" s="35" t="s">
        <v>49</v>
      </c>
      <c r="O48" s="38" t="s">
        <v>50</v>
      </c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105" x14ac:dyDescent="0.25">
      <c r="A49" s="15" t="s">
        <v>41</v>
      </c>
      <c r="B49" s="15">
        <v>480</v>
      </c>
      <c r="C49" s="15" t="str">
        <f t="shared" si="1"/>
        <v>MTC_0480</v>
      </c>
      <c r="D49" s="35" t="s">
        <v>316</v>
      </c>
      <c r="E49" s="35" t="s">
        <v>88</v>
      </c>
      <c r="F49" s="35" t="s">
        <v>317</v>
      </c>
      <c r="G49" s="35" t="s">
        <v>318</v>
      </c>
      <c r="H49" s="35" t="s">
        <v>319</v>
      </c>
      <c r="I49" s="35" t="s">
        <v>320</v>
      </c>
      <c r="J49" s="35" t="s">
        <v>304</v>
      </c>
      <c r="K49" s="35" t="s">
        <v>321</v>
      </c>
      <c r="L49" s="35" t="s">
        <v>20</v>
      </c>
      <c r="M49" s="35" t="s">
        <v>3</v>
      </c>
      <c r="N49" s="35" t="s">
        <v>80</v>
      </c>
      <c r="O49" s="38" t="s">
        <v>50</v>
      </c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60" x14ac:dyDescent="0.25">
      <c r="A50" s="15" t="s">
        <v>41</v>
      </c>
      <c r="B50" s="15">
        <v>490</v>
      </c>
      <c r="C50" s="15" t="str">
        <f t="shared" si="1"/>
        <v>MTC_0490</v>
      </c>
      <c r="D50" s="35" t="s">
        <v>322</v>
      </c>
      <c r="E50" s="35" t="s">
        <v>19</v>
      </c>
      <c r="F50" s="35" t="s">
        <v>323</v>
      </c>
      <c r="G50" s="35" t="s">
        <v>324</v>
      </c>
      <c r="H50" s="35" t="s">
        <v>325</v>
      </c>
      <c r="I50" s="35" t="s">
        <v>326</v>
      </c>
      <c r="J50" s="35" t="s">
        <v>304</v>
      </c>
      <c r="K50" s="35" t="s">
        <v>327</v>
      </c>
      <c r="L50" s="35" t="s">
        <v>20</v>
      </c>
      <c r="M50" s="35" t="s">
        <v>3</v>
      </c>
      <c r="N50" s="35" t="s">
        <v>49</v>
      </c>
      <c r="O50" s="38" t="s">
        <v>50</v>
      </c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60" x14ac:dyDescent="0.25">
      <c r="A51" s="15" t="s">
        <v>41</v>
      </c>
      <c r="B51" s="15">
        <v>500</v>
      </c>
      <c r="C51" s="15" t="str">
        <f t="shared" si="1"/>
        <v>MTC_0500</v>
      </c>
      <c r="D51" s="35" t="s">
        <v>328</v>
      </c>
      <c r="E51" s="35" t="s">
        <v>19</v>
      </c>
      <c r="F51" s="35" t="s">
        <v>329</v>
      </c>
      <c r="G51" s="35" t="s">
        <v>217</v>
      </c>
      <c r="H51" s="35" t="s">
        <v>330</v>
      </c>
      <c r="I51" s="35" t="s">
        <v>331</v>
      </c>
      <c r="J51" s="35" t="s">
        <v>304</v>
      </c>
      <c r="K51" s="35" t="s">
        <v>332</v>
      </c>
      <c r="L51" s="35" t="s">
        <v>20</v>
      </c>
      <c r="M51" s="35" t="s">
        <v>4</v>
      </c>
      <c r="N51" s="35" t="s">
        <v>49</v>
      </c>
      <c r="O51" s="38" t="s">
        <v>50</v>
      </c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75" x14ac:dyDescent="0.25">
      <c r="A52" s="15" t="s">
        <v>41</v>
      </c>
      <c r="B52" s="15">
        <v>510</v>
      </c>
      <c r="C52" s="15" t="str">
        <f t="shared" si="1"/>
        <v>MTC_0510</v>
      </c>
      <c r="D52" s="35" t="s">
        <v>333</v>
      </c>
      <c r="E52" s="35" t="s">
        <v>120</v>
      </c>
      <c r="F52" s="35" t="s">
        <v>334</v>
      </c>
      <c r="G52" s="35" t="s">
        <v>335</v>
      </c>
      <c r="H52" s="35" t="s">
        <v>334</v>
      </c>
      <c r="I52" s="35" t="s">
        <v>320</v>
      </c>
      <c r="J52" s="35" t="s">
        <v>304</v>
      </c>
      <c r="K52" s="35" t="s">
        <v>336</v>
      </c>
      <c r="L52" s="35" t="s">
        <v>20</v>
      </c>
      <c r="M52" s="35" t="s">
        <v>4</v>
      </c>
      <c r="N52" s="35" t="s">
        <v>80</v>
      </c>
      <c r="O52" s="38" t="s">
        <v>50</v>
      </c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75" x14ac:dyDescent="0.25">
      <c r="A53" s="15" t="s">
        <v>41</v>
      </c>
      <c r="B53" s="15">
        <v>520</v>
      </c>
      <c r="C53" s="15" t="str">
        <f t="shared" si="1"/>
        <v>MTC_0520</v>
      </c>
      <c r="D53" s="35" t="s">
        <v>337</v>
      </c>
      <c r="E53" s="35" t="s">
        <v>120</v>
      </c>
      <c r="F53" s="35" t="s">
        <v>338</v>
      </c>
      <c r="G53" s="35" t="s">
        <v>339</v>
      </c>
      <c r="H53" s="35" t="s">
        <v>340</v>
      </c>
      <c r="I53" s="35" t="s">
        <v>341</v>
      </c>
      <c r="J53" s="35" t="s">
        <v>304</v>
      </c>
      <c r="K53" s="35" t="s">
        <v>342</v>
      </c>
      <c r="L53" s="35" t="s">
        <v>20</v>
      </c>
      <c r="M53" s="35" t="s">
        <v>4</v>
      </c>
      <c r="N53" s="35" t="s">
        <v>49</v>
      </c>
      <c r="O53" s="38" t="s">
        <v>50</v>
      </c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90" x14ac:dyDescent="0.25">
      <c r="A54" s="15" t="s">
        <v>41</v>
      </c>
      <c r="B54" s="15">
        <v>530</v>
      </c>
      <c r="C54" s="15" t="str">
        <f t="shared" si="1"/>
        <v>MTC_0530</v>
      </c>
      <c r="D54" s="37" t="s">
        <v>343</v>
      </c>
      <c r="E54" s="37" t="s">
        <v>19</v>
      </c>
      <c r="F54" s="37" t="s">
        <v>344</v>
      </c>
      <c r="G54" s="37" t="s">
        <v>345</v>
      </c>
      <c r="H54" s="37" t="s">
        <v>346</v>
      </c>
      <c r="I54" s="37" t="s">
        <v>347</v>
      </c>
      <c r="J54" s="37" t="s">
        <v>304</v>
      </c>
      <c r="K54" s="37" t="s">
        <v>348</v>
      </c>
      <c r="L54" s="35" t="s">
        <v>20</v>
      </c>
      <c r="M54" s="35" t="s">
        <v>4</v>
      </c>
      <c r="N54" s="35" t="s">
        <v>49</v>
      </c>
      <c r="O54" s="38" t="s">
        <v>50</v>
      </c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45" x14ac:dyDescent="0.25">
      <c r="A55" s="15" t="s">
        <v>41</v>
      </c>
      <c r="B55" s="15">
        <v>540</v>
      </c>
      <c r="C55" s="80" t="str">
        <f t="shared" si="1"/>
        <v>MTC_0540</v>
      </c>
      <c r="D55" s="82" t="s">
        <v>349</v>
      </c>
      <c r="E55" s="82" t="s">
        <v>19</v>
      </c>
      <c r="F55" s="82" t="s">
        <v>350</v>
      </c>
      <c r="G55" s="82" t="s">
        <v>351</v>
      </c>
      <c r="H55" s="82" t="s">
        <v>350</v>
      </c>
      <c r="I55" s="82" t="s">
        <v>352</v>
      </c>
      <c r="J55" s="87" t="s">
        <v>353</v>
      </c>
      <c r="K55" s="82" t="s">
        <v>354</v>
      </c>
      <c r="L55" s="81" t="s">
        <v>20</v>
      </c>
      <c r="M55" s="35" t="s">
        <v>4</v>
      </c>
      <c r="N55" s="35" t="s">
        <v>49</v>
      </c>
      <c r="O55" s="38" t="s">
        <v>50</v>
      </c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45" x14ac:dyDescent="0.25">
      <c r="A56" s="15" t="s">
        <v>41</v>
      </c>
      <c r="B56" s="15">
        <v>550</v>
      </c>
      <c r="C56" s="80" t="str">
        <f t="shared" si="1"/>
        <v>MTC_0550</v>
      </c>
      <c r="D56" s="82" t="s">
        <v>355</v>
      </c>
      <c r="E56" s="82" t="s">
        <v>19</v>
      </c>
      <c r="F56" s="82" t="s">
        <v>356</v>
      </c>
      <c r="G56" s="82" t="s">
        <v>357</v>
      </c>
      <c r="H56" s="82" t="s">
        <v>356</v>
      </c>
      <c r="I56" s="82" t="s">
        <v>358</v>
      </c>
      <c r="J56" s="87" t="s">
        <v>353</v>
      </c>
      <c r="K56" s="82" t="s">
        <v>359</v>
      </c>
      <c r="L56" s="81" t="s">
        <v>20</v>
      </c>
      <c r="M56" s="35" t="s">
        <v>4</v>
      </c>
      <c r="N56" s="35" t="s">
        <v>49</v>
      </c>
      <c r="O56" s="38" t="s">
        <v>50</v>
      </c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45" x14ac:dyDescent="0.25">
      <c r="A57" s="15" t="s">
        <v>41</v>
      </c>
      <c r="B57" s="15">
        <v>560</v>
      </c>
      <c r="C57" s="80" t="str">
        <f t="shared" si="1"/>
        <v>MTC_0560</v>
      </c>
      <c r="D57" s="82" t="s">
        <v>360</v>
      </c>
      <c r="E57" s="82" t="s">
        <v>19</v>
      </c>
      <c r="F57" s="82" t="s">
        <v>361</v>
      </c>
      <c r="G57" s="82" t="s">
        <v>362</v>
      </c>
      <c r="H57" s="82" t="s">
        <v>361</v>
      </c>
      <c r="I57" s="82" t="s">
        <v>363</v>
      </c>
      <c r="J57" s="87" t="s">
        <v>353</v>
      </c>
      <c r="K57" s="82" t="s">
        <v>364</v>
      </c>
      <c r="L57" s="81" t="s">
        <v>20</v>
      </c>
      <c r="M57" s="35" t="s">
        <v>4</v>
      </c>
      <c r="N57" s="35" t="s">
        <v>49</v>
      </c>
      <c r="O57" s="38" t="s">
        <v>50</v>
      </c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30" x14ac:dyDescent="0.25">
      <c r="A58" s="15" t="s">
        <v>41</v>
      </c>
      <c r="B58" s="15">
        <v>570</v>
      </c>
      <c r="C58" s="80" t="str">
        <f t="shared" si="1"/>
        <v>MTC_0570</v>
      </c>
      <c r="D58" s="82" t="s">
        <v>365</v>
      </c>
      <c r="E58" s="82" t="s">
        <v>19</v>
      </c>
      <c r="F58" s="82" t="s">
        <v>366</v>
      </c>
      <c r="G58" s="82" t="s">
        <v>367</v>
      </c>
      <c r="H58" s="82" t="s">
        <v>366</v>
      </c>
      <c r="I58" s="82" t="s">
        <v>368</v>
      </c>
      <c r="J58" s="87" t="s">
        <v>353</v>
      </c>
      <c r="K58" s="82" t="s">
        <v>369</v>
      </c>
      <c r="L58" s="81" t="s">
        <v>20</v>
      </c>
      <c r="M58" s="35" t="s">
        <v>4</v>
      </c>
      <c r="N58" s="35" t="s">
        <v>49</v>
      </c>
      <c r="O58" s="38" t="s">
        <v>50</v>
      </c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30" x14ac:dyDescent="0.25">
      <c r="A59" s="15" t="s">
        <v>41</v>
      </c>
      <c r="B59" s="15">
        <v>580</v>
      </c>
      <c r="C59" s="80" t="str">
        <f t="shared" si="1"/>
        <v>MTC_0580</v>
      </c>
      <c r="D59" s="82" t="s">
        <v>370</v>
      </c>
      <c r="E59" s="82" t="s">
        <v>371</v>
      </c>
      <c r="F59" s="82" t="s">
        <v>372</v>
      </c>
      <c r="G59" s="82" t="s">
        <v>367</v>
      </c>
      <c r="H59" s="82" t="s">
        <v>372</v>
      </c>
      <c r="I59" s="82" t="s">
        <v>373</v>
      </c>
      <c r="J59" s="87" t="s">
        <v>353</v>
      </c>
      <c r="K59" s="82" t="s">
        <v>374</v>
      </c>
      <c r="L59" s="81" t="s">
        <v>20</v>
      </c>
      <c r="M59" s="35" t="s">
        <v>4</v>
      </c>
      <c r="N59" s="35" t="s">
        <v>49</v>
      </c>
      <c r="O59" s="38" t="s">
        <v>50</v>
      </c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45" x14ac:dyDescent="0.25">
      <c r="A60" s="15" t="s">
        <v>41</v>
      </c>
      <c r="B60" s="15">
        <v>590</v>
      </c>
      <c r="C60" s="80" t="str">
        <f t="shared" si="1"/>
        <v>MTC_0590</v>
      </c>
      <c r="D60" s="82" t="s">
        <v>375</v>
      </c>
      <c r="E60" s="87" t="s">
        <v>19</v>
      </c>
      <c r="F60" s="82" t="s">
        <v>376</v>
      </c>
      <c r="G60" s="82" t="s">
        <v>367</v>
      </c>
      <c r="H60" s="82" t="s">
        <v>376</v>
      </c>
      <c r="I60" s="82" t="s">
        <v>377</v>
      </c>
      <c r="J60" s="87" t="s">
        <v>353</v>
      </c>
      <c r="K60" s="82" t="s">
        <v>378</v>
      </c>
      <c r="L60" s="81" t="s">
        <v>20</v>
      </c>
      <c r="M60" s="35" t="s">
        <v>3</v>
      </c>
      <c r="N60" s="35" t="s">
        <v>49</v>
      </c>
      <c r="O60" s="38" t="s">
        <v>50</v>
      </c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45" x14ac:dyDescent="0.25">
      <c r="A61" s="15" t="s">
        <v>41</v>
      </c>
      <c r="B61" s="15">
        <v>600</v>
      </c>
      <c r="C61" s="80" t="str">
        <f t="shared" si="1"/>
        <v>MTC_0600</v>
      </c>
      <c r="D61" s="82" t="s">
        <v>379</v>
      </c>
      <c r="E61" s="87" t="s">
        <v>19</v>
      </c>
      <c r="F61" s="82" t="s">
        <v>380</v>
      </c>
      <c r="G61" s="82" t="s">
        <v>381</v>
      </c>
      <c r="H61" s="82" t="s">
        <v>380</v>
      </c>
      <c r="I61" s="82" t="s">
        <v>382</v>
      </c>
      <c r="J61" s="87" t="s">
        <v>383</v>
      </c>
      <c r="K61" s="82" t="s">
        <v>384</v>
      </c>
      <c r="L61" s="81" t="s">
        <v>20</v>
      </c>
      <c r="M61" s="35" t="s">
        <v>3</v>
      </c>
      <c r="N61" s="35" t="s">
        <v>49</v>
      </c>
      <c r="O61" s="38" t="s">
        <v>50</v>
      </c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45" x14ac:dyDescent="0.25">
      <c r="A62" s="15" t="s">
        <v>41</v>
      </c>
      <c r="B62" s="15">
        <v>610</v>
      </c>
      <c r="C62" s="80" t="str">
        <f t="shared" si="1"/>
        <v>MTC_0610</v>
      </c>
      <c r="D62" s="82" t="s">
        <v>385</v>
      </c>
      <c r="E62" s="82" t="s">
        <v>19</v>
      </c>
      <c r="F62" s="82" t="s">
        <v>386</v>
      </c>
      <c r="G62" s="82" t="s">
        <v>387</v>
      </c>
      <c r="H62" s="82" t="s">
        <v>386</v>
      </c>
      <c r="I62" s="82" t="s">
        <v>388</v>
      </c>
      <c r="J62" s="87" t="s">
        <v>383</v>
      </c>
      <c r="K62" s="82" t="s">
        <v>389</v>
      </c>
      <c r="L62" s="81" t="s">
        <v>20</v>
      </c>
      <c r="M62" s="35" t="s">
        <v>4</v>
      </c>
      <c r="N62" s="35" t="s">
        <v>49</v>
      </c>
      <c r="O62" s="38" t="s">
        <v>50</v>
      </c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45" x14ac:dyDescent="0.25">
      <c r="A63" s="15" t="s">
        <v>41</v>
      </c>
      <c r="B63" s="15">
        <v>620</v>
      </c>
      <c r="C63" s="80" t="str">
        <f t="shared" si="1"/>
        <v>MTC_0620</v>
      </c>
      <c r="D63" s="82" t="s">
        <v>390</v>
      </c>
      <c r="E63" s="82" t="s">
        <v>19</v>
      </c>
      <c r="F63" s="82" t="s">
        <v>391</v>
      </c>
      <c r="G63" s="82" t="s">
        <v>392</v>
      </c>
      <c r="H63" s="82" t="s">
        <v>391</v>
      </c>
      <c r="I63" s="82" t="s">
        <v>393</v>
      </c>
      <c r="J63" s="87" t="s">
        <v>383</v>
      </c>
      <c r="K63" s="82" t="s">
        <v>394</v>
      </c>
      <c r="L63" s="81" t="s">
        <v>20</v>
      </c>
      <c r="M63" s="35" t="s">
        <v>4</v>
      </c>
      <c r="N63" s="35" t="s">
        <v>49</v>
      </c>
      <c r="O63" s="38" t="s">
        <v>50</v>
      </c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45" x14ac:dyDescent="0.25">
      <c r="A64" s="15" t="s">
        <v>41</v>
      </c>
      <c r="B64" s="15">
        <v>630</v>
      </c>
      <c r="C64" s="80" t="str">
        <f t="shared" si="1"/>
        <v>MTC_0630</v>
      </c>
      <c r="D64" s="82" t="s">
        <v>395</v>
      </c>
      <c r="E64" s="82" t="s">
        <v>19</v>
      </c>
      <c r="F64" s="82" t="s">
        <v>396</v>
      </c>
      <c r="G64" s="82" t="s">
        <v>397</v>
      </c>
      <c r="H64" s="82" t="s">
        <v>396</v>
      </c>
      <c r="I64" s="82" t="s">
        <v>398</v>
      </c>
      <c r="J64" s="87" t="s">
        <v>383</v>
      </c>
      <c r="K64" s="82" t="s">
        <v>399</v>
      </c>
      <c r="L64" s="81" t="s">
        <v>20</v>
      </c>
      <c r="M64" s="35" t="s">
        <v>4</v>
      </c>
      <c r="N64" s="35" t="s">
        <v>49</v>
      </c>
      <c r="O64" s="38" t="s">
        <v>50</v>
      </c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45" x14ac:dyDescent="0.25">
      <c r="A65" s="15" t="s">
        <v>41</v>
      </c>
      <c r="B65" s="15">
        <v>640</v>
      </c>
      <c r="C65" s="80" t="str">
        <f t="shared" si="1"/>
        <v>MTC_0640</v>
      </c>
      <c r="D65" s="82" t="s">
        <v>400</v>
      </c>
      <c r="E65" s="82" t="s">
        <v>19</v>
      </c>
      <c r="F65" s="82" t="s">
        <v>401</v>
      </c>
      <c r="G65" s="82" t="s">
        <v>402</v>
      </c>
      <c r="H65" s="82" t="s">
        <v>401</v>
      </c>
      <c r="I65" s="82" t="s">
        <v>403</v>
      </c>
      <c r="J65" s="87" t="s">
        <v>383</v>
      </c>
      <c r="K65" s="82" t="s">
        <v>404</v>
      </c>
      <c r="L65" s="81" t="s">
        <v>20</v>
      </c>
      <c r="M65" s="35" t="s">
        <v>4</v>
      </c>
      <c r="N65" s="35" t="s">
        <v>49</v>
      </c>
      <c r="O65" s="38" t="s">
        <v>50</v>
      </c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45" x14ac:dyDescent="0.25">
      <c r="A66" s="15" t="s">
        <v>41</v>
      </c>
      <c r="B66" s="15">
        <v>650</v>
      </c>
      <c r="C66" s="80" t="str">
        <f t="shared" si="1"/>
        <v>MTC_0650</v>
      </c>
      <c r="D66" s="82" t="s">
        <v>405</v>
      </c>
      <c r="E66" s="82" t="s">
        <v>19</v>
      </c>
      <c r="F66" s="82" t="s">
        <v>406</v>
      </c>
      <c r="G66" s="82" t="s">
        <v>402</v>
      </c>
      <c r="H66" s="82" t="s">
        <v>406</v>
      </c>
      <c r="I66" s="82" t="s">
        <v>407</v>
      </c>
      <c r="J66" s="87" t="s">
        <v>383</v>
      </c>
      <c r="K66" s="82" t="s">
        <v>408</v>
      </c>
      <c r="L66" s="81" t="s">
        <v>20</v>
      </c>
      <c r="M66" s="35" t="s">
        <v>4</v>
      </c>
      <c r="N66" s="35" t="s">
        <v>49</v>
      </c>
      <c r="O66" s="38" t="s">
        <v>50</v>
      </c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60" x14ac:dyDescent="0.25">
      <c r="A67" s="15" t="s">
        <v>41</v>
      </c>
      <c r="B67" s="15">
        <v>660</v>
      </c>
      <c r="C67" s="80" t="str">
        <f t="shared" si="1"/>
        <v>MTC_0660</v>
      </c>
      <c r="D67" s="82" t="s">
        <v>409</v>
      </c>
      <c r="E67" s="87" t="s">
        <v>120</v>
      </c>
      <c r="F67" s="82" t="s">
        <v>410</v>
      </c>
      <c r="G67" s="82" t="s">
        <v>411</v>
      </c>
      <c r="H67" s="82" t="s">
        <v>410</v>
      </c>
      <c r="I67" s="82" t="s">
        <v>412</v>
      </c>
      <c r="J67" s="87" t="s">
        <v>383</v>
      </c>
      <c r="K67" s="82" t="s">
        <v>413</v>
      </c>
      <c r="L67" s="81" t="s">
        <v>20</v>
      </c>
      <c r="M67" s="35" t="s">
        <v>3</v>
      </c>
      <c r="N67" s="35" t="s">
        <v>49</v>
      </c>
      <c r="O67" s="38" t="s">
        <v>50</v>
      </c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45" x14ac:dyDescent="0.25">
      <c r="A68" s="15" t="s">
        <v>41</v>
      </c>
      <c r="B68" s="15">
        <v>670</v>
      </c>
      <c r="C68" s="80" t="str">
        <f t="shared" si="1"/>
        <v>MTC_0670</v>
      </c>
      <c r="D68" s="82" t="s">
        <v>414</v>
      </c>
      <c r="E68" s="87" t="s">
        <v>19</v>
      </c>
      <c r="F68" s="82" t="s">
        <v>415</v>
      </c>
      <c r="G68" s="82" t="s">
        <v>416</v>
      </c>
      <c r="H68" s="82" t="s">
        <v>415</v>
      </c>
      <c r="I68" s="82" t="s">
        <v>417</v>
      </c>
      <c r="J68" s="87" t="s">
        <v>383</v>
      </c>
      <c r="K68" s="82" t="s">
        <v>418</v>
      </c>
      <c r="L68" s="81" t="s">
        <v>20</v>
      </c>
      <c r="M68" s="35" t="s">
        <v>3</v>
      </c>
      <c r="N68" s="35" t="s">
        <v>49</v>
      </c>
      <c r="O68" s="38" t="s">
        <v>50</v>
      </c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45" x14ac:dyDescent="0.25">
      <c r="A69" s="15" t="s">
        <v>41</v>
      </c>
      <c r="B69" s="15">
        <v>680</v>
      </c>
      <c r="C69" s="80" t="str">
        <f t="shared" si="1"/>
        <v>MTC_0680</v>
      </c>
      <c r="D69" s="82" t="s">
        <v>419</v>
      </c>
      <c r="E69" s="82" t="s">
        <v>19</v>
      </c>
      <c r="F69" s="82" t="s">
        <v>420</v>
      </c>
      <c r="G69" s="82" t="s">
        <v>421</v>
      </c>
      <c r="H69" s="82" t="s">
        <v>420</v>
      </c>
      <c r="I69" s="82" t="s">
        <v>422</v>
      </c>
      <c r="J69" s="87" t="s">
        <v>423</v>
      </c>
      <c r="K69" s="82" t="s">
        <v>424</v>
      </c>
      <c r="L69" s="81" t="s">
        <v>20</v>
      </c>
      <c r="M69" s="35" t="s">
        <v>4</v>
      </c>
      <c r="N69" s="35" t="s">
        <v>49</v>
      </c>
      <c r="O69" s="38" t="s">
        <v>50</v>
      </c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45" x14ac:dyDescent="0.25">
      <c r="A70" s="15" t="s">
        <v>41</v>
      </c>
      <c r="B70" s="15">
        <v>690</v>
      </c>
      <c r="C70" s="80" t="str">
        <f t="shared" si="1"/>
        <v>MTC_0690</v>
      </c>
      <c r="D70" s="82" t="s">
        <v>425</v>
      </c>
      <c r="E70" s="87" t="s">
        <v>19</v>
      </c>
      <c r="F70" s="82" t="s">
        <v>426</v>
      </c>
      <c r="G70" s="82" t="s">
        <v>427</v>
      </c>
      <c r="H70" s="82" t="s">
        <v>426</v>
      </c>
      <c r="I70" s="82" t="s">
        <v>428</v>
      </c>
      <c r="J70" s="87" t="s">
        <v>423</v>
      </c>
      <c r="K70" s="82" t="s">
        <v>429</v>
      </c>
      <c r="L70" s="81" t="s">
        <v>20</v>
      </c>
      <c r="M70" s="35" t="s">
        <v>3</v>
      </c>
      <c r="N70" s="35" t="s">
        <v>49</v>
      </c>
      <c r="O70" s="38" t="s">
        <v>50</v>
      </c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45" x14ac:dyDescent="0.25">
      <c r="A71" s="15" t="s">
        <v>41</v>
      </c>
      <c r="B71" s="15">
        <v>700</v>
      </c>
      <c r="C71" s="80" t="str">
        <f t="shared" si="1"/>
        <v>MTC_0700</v>
      </c>
      <c r="D71" s="82" t="s">
        <v>430</v>
      </c>
      <c r="E71" s="87" t="s">
        <v>19</v>
      </c>
      <c r="F71" s="82" t="s">
        <v>431</v>
      </c>
      <c r="G71" s="82" t="s">
        <v>367</v>
      </c>
      <c r="H71" s="82" t="s">
        <v>431</v>
      </c>
      <c r="I71" s="82" t="s">
        <v>432</v>
      </c>
      <c r="J71" s="87" t="s">
        <v>423</v>
      </c>
      <c r="K71" s="82" t="s">
        <v>433</v>
      </c>
      <c r="L71" s="81" t="s">
        <v>20</v>
      </c>
      <c r="M71" s="35" t="s">
        <v>3</v>
      </c>
      <c r="N71" s="35" t="s">
        <v>49</v>
      </c>
      <c r="O71" s="38" t="s">
        <v>50</v>
      </c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45" x14ac:dyDescent="0.25">
      <c r="A72" s="15" t="s">
        <v>41</v>
      </c>
      <c r="B72" s="15">
        <v>710</v>
      </c>
      <c r="C72" s="80" t="str">
        <f t="shared" si="1"/>
        <v>MTC_0710</v>
      </c>
      <c r="D72" s="82" t="s">
        <v>434</v>
      </c>
      <c r="E72" s="87" t="s">
        <v>19</v>
      </c>
      <c r="F72" s="82" t="s">
        <v>435</v>
      </c>
      <c r="G72" s="82" t="s">
        <v>367</v>
      </c>
      <c r="H72" s="82" t="s">
        <v>435</v>
      </c>
      <c r="I72" s="82" t="s">
        <v>436</v>
      </c>
      <c r="J72" s="87" t="s">
        <v>423</v>
      </c>
      <c r="K72" s="82" t="s">
        <v>437</v>
      </c>
      <c r="L72" s="81" t="s">
        <v>20</v>
      </c>
      <c r="M72" s="35" t="s">
        <v>3</v>
      </c>
      <c r="N72" s="35" t="s">
        <v>49</v>
      </c>
      <c r="O72" s="38" t="s">
        <v>50</v>
      </c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60" x14ac:dyDescent="0.25">
      <c r="A73" s="15" t="s">
        <v>41</v>
      </c>
      <c r="B73" s="15">
        <v>720</v>
      </c>
      <c r="C73" s="80" t="str">
        <f t="shared" si="1"/>
        <v>MTC_0720</v>
      </c>
      <c r="D73" s="82" t="s">
        <v>438</v>
      </c>
      <c r="E73" s="82" t="s">
        <v>19</v>
      </c>
      <c r="F73" s="82" t="s">
        <v>439</v>
      </c>
      <c r="G73" s="82" t="s">
        <v>367</v>
      </c>
      <c r="H73" s="82" t="s">
        <v>439</v>
      </c>
      <c r="I73" s="82" t="s">
        <v>440</v>
      </c>
      <c r="J73" s="87" t="s">
        <v>423</v>
      </c>
      <c r="K73" s="82" t="s">
        <v>441</v>
      </c>
      <c r="L73" s="81" t="s">
        <v>20</v>
      </c>
      <c r="M73" s="35" t="s">
        <v>4</v>
      </c>
      <c r="N73" s="35" t="s">
        <v>49</v>
      </c>
      <c r="O73" s="38" t="s">
        <v>50</v>
      </c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45" x14ac:dyDescent="0.25">
      <c r="A74" s="15" t="s">
        <v>41</v>
      </c>
      <c r="B74" s="15">
        <v>730</v>
      </c>
      <c r="C74" s="80" t="str">
        <f t="shared" si="1"/>
        <v>MTC_0730</v>
      </c>
      <c r="D74" s="82" t="s">
        <v>442</v>
      </c>
      <c r="E74" s="82" t="s">
        <v>120</v>
      </c>
      <c r="F74" s="82" t="s">
        <v>443</v>
      </c>
      <c r="G74" s="82" t="s">
        <v>444</v>
      </c>
      <c r="H74" s="82" t="s">
        <v>443</v>
      </c>
      <c r="I74" s="82" t="s">
        <v>445</v>
      </c>
      <c r="J74" s="87" t="s">
        <v>423</v>
      </c>
      <c r="K74" s="82" t="s">
        <v>446</v>
      </c>
      <c r="L74" s="81" t="s">
        <v>20</v>
      </c>
      <c r="M74" s="35" t="s">
        <v>4</v>
      </c>
      <c r="N74" s="35" t="s">
        <v>49</v>
      </c>
      <c r="O74" s="38" t="s">
        <v>50</v>
      </c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x14ac:dyDescent="0.25">
      <c r="A75" s="20"/>
      <c r="B75" s="24"/>
      <c r="C75" s="24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x14ac:dyDescent="0.25">
      <c r="A76" s="20"/>
      <c r="B76" s="24"/>
      <c r="C76" s="24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x14ac:dyDescent="0.25">
      <c r="A77" s="20"/>
      <c r="B77" s="24"/>
      <c r="C77" s="24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x14ac:dyDescent="0.25">
      <c r="A78" s="20"/>
      <c r="B78" s="24"/>
      <c r="C78" s="24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x14ac:dyDescent="0.25">
      <c r="A79" s="20"/>
      <c r="B79" s="24"/>
      <c r="C79" s="24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x14ac:dyDescent="0.25">
      <c r="A80" s="20"/>
      <c r="B80" s="24"/>
      <c r="C80" s="24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x14ac:dyDescent="0.25">
      <c r="A81" s="20"/>
      <c r="B81" s="24"/>
      <c r="C81" s="24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x14ac:dyDescent="0.25">
      <c r="A82" s="20"/>
      <c r="B82" s="24"/>
      <c r="C82" s="24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x14ac:dyDescent="0.25">
      <c r="A83" s="20"/>
      <c r="B83" s="24"/>
      <c r="C83" s="24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x14ac:dyDescent="0.25">
      <c r="A84" s="20"/>
      <c r="B84" s="24"/>
      <c r="C84" s="24"/>
      <c r="D84" s="83"/>
      <c r="E84" s="83"/>
      <c r="F84" s="83"/>
      <c r="G84" s="83"/>
      <c r="H84" s="83"/>
      <c r="I84" s="83"/>
      <c r="J84" s="83"/>
      <c r="K84" s="83"/>
      <c r="L84" s="84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x14ac:dyDescent="0.25">
      <c r="A85" s="20"/>
      <c r="B85" s="24"/>
      <c r="C85" s="24"/>
      <c r="D85" s="83"/>
      <c r="E85" s="85"/>
      <c r="F85" s="85"/>
      <c r="G85" s="85"/>
      <c r="H85" s="85"/>
      <c r="I85" s="85"/>
      <c r="J85" s="85"/>
      <c r="K85" s="85"/>
      <c r="L85" s="86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x14ac:dyDescent="0.25">
      <c r="A86" s="20"/>
      <c r="B86" s="24"/>
      <c r="C86" s="24"/>
      <c r="D86" s="83"/>
      <c r="E86" s="85"/>
      <c r="F86" s="85"/>
      <c r="G86" s="85"/>
      <c r="H86" s="85"/>
      <c r="I86" s="85"/>
      <c r="J86" s="85"/>
      <c r="K86" s="85"/>
      <c r="L86" s="86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x14ac:dyDescent="0.25">
      <c r="A87" s="20"/>
      <c r="B87" s="24"/>
      <c r="C87" s="24"/>
      <c r="D87" s="83"/>
      <c r="E87" s="85"/>
      <c r="F87" s="85"/>
      <c r="G87" s="85"/>
      <c r="H87" s="85"/>
      <c r="I87" s="85"/>
      <c r="J87" s="85"/>
      <c r="K87" s="85"/>
      <c r="L87" s="86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x14ac:dyDescent="0.25">
      <c r="A88" s="20"/>
      <c r="B88" s="24"/>
      <c r="C88" s="24"/>
      <c r="D88" s="83"/>
      <c r="E88" s="85"/>
      <c r="F88" s="85"/>
      <c r="G88" s="85"/>
      <c r="H88" s="85"/>
      <c r="I88" s="85"/>
      <c r="J88" s="85"/>
      <c r="K88" s="85"/>
      <c r="L88" s="86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x14ac:dyDescent="0.25">
      <c r="A89" s="20"/>
      <c r="B89" s="24"/>
      <c r="C89" s="24"/>
      <c r="D89" s="83"/>
      <c r="E89" s="85"/>
      <c r="F89" s="85"/>
      <c r="G89" s="85"/>
      <c r="H89" s="85"/>
      <c r="I89" s="85"/>
      <c r="J89" s="85"/>
      <c r="K89" s="85"/>
      <c r="L89" s="86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x14ac:dyDescent="0.25">
      <c r="A90" s="20"/>
      <c r="B90" s="24"/>
      <c r="C90" s="24"/>
      <c r="D90" s="83"/>
      <c r="E90" s="85"/>
      <c r="F90" s="85"/>
      <c r="G90" s="85"/>
      <c r="H90" s="85"/>
      <c r="I90" s="85"/>
      <c r="J90" s="85"/>
      <c r="K90" s="85"/>
      <c r="L90" s="86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x14ac:dyDescent="0.25">
      <c r="A91" s="20"/>
      <c r="B91" s="24"/>
      <c r="C91" s="24"/>
      <c r="D91" s="83"/>
      <c r="E91" s="85"/>
      <c r="F91" s="85"/>
      <c r="G91" s="85"/>
      <c r="H91" s="85"/>
      <c r="I91" s="85"/>
      <c r="J91" s="85"/>
      <c r="K91" s="85"/>
      <c r="L91" s="86"/>
      <c r="M91" s="13"/>
      <c r="N91" s="13"/>
      <c r="O91" s="13"/>
      <c r="U91" s="13"/>
      <c r="V91" s="13"/>
      <c r="W91" s="13"/>
      <c r="X91" s="13"/>
      <c r="Y91" s="13"/>
    </row>
    <row r="92" spans="1:25" x14ac:dyDescent="0.25">
      <c r="A92" s="20"/>
      <c r="B92" s="24"/>
      <c r="C92" s="24"/>
      <c r="D92" s="83"/>
      <c r="E92" s="85"/>
      <c r="F92" s="85"/>
      <c r="G92" s="85"/>
      <c r="H92" s="85"/>
      <c r="I92" s="85"/>
      <c r="J92" s="85"/>
      <c r="K92" s="85"/>
      <c r="L92" s="86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x14ac:dyDescent="0.25">
      <c r="A93" s="20"/>
      <c r="B93" s="24"/>
      <c r="C93" s="24"/>
      <c r="D93" s="83"/>
      <c r="E93" s="85"/>
      <c r="F93" s="85"/>
      <c r="G93" s="85"/>
      <c r="H93" s="85"/>
      <c r="I93" s="85"/>
      <c r="J93" s="85"/>
      <c r="K93" s="85"/>
      <c r="L93" s="86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x14ac:dyDescent="0.25">
      <c r="A94" s="20"/>
      <c r="B94" s="24"/>
      <c r="C94" s="24"/>
      <c r="D94" s="83"/>
      <c r="E94" s="85"/>
      <c r="F94" s="85"/>
      <c r="G94" s="85"/>
      <c r="H94" s="85"/>
      <c r="I94" s="85"/>
      <c r="J94" s="85"/>
      <c r="K94" s="85"/>
      <c r="L94" s="86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x14ac:dyDescent="0.25">
      <c r="A95" s="20"/>
      <c r="B95" s="24"/>
      <c r="C95" s="24"/>
      <c r="D95" s="83"/>
      <c r="E95" s="85"/>
      <c r="F95" s="85"/>
      <c r="G95" s="85"/>
      <c r="H95" s="85"/>
      <c r="I95" s="85"/>
      <c r="J95" s="85"/>
      <c r="K95" s="85"/>
      <c r="L95" s="86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x14ac:dyDescent="0.25">
      <c r="A96" s="20"/>
      <c r="B96" s="24"/>
      <c r="C96" s="24"/>
      <c r="D96" s="83"/>
      <c r="E96" s="85"/>
      <c r="F96" s="85"/>
      <c r="G96" s="85"/>
      <c r="H96" s="85"/>
      <c r="I96" s="85"/>
      <c r="J96" s="85"/>
      <c r="K96" s="85"/>
      <c r="L96" s="86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x14ac:dyDescent="0.25">
      <c r="A97" s="20"/>
      <c r="B97" s="24"/>
      <c r="C97" s="24"/>
      <c r="D97" s="83"/>
      <c r="E97" s="85"/>
      <c r="F97" s="85"/>
      <c r="G97" s="85"/>
      <c r="H97" s="85"/>
      <c r="I97" s="85"/>
      <c r="J97" s="85"/>
      <c r="K97" s="85"/>
      <c r="L97" s="86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x14ac:dyDescent="0.25">
      <c r="A98" s="20"/>
      <c r="B98" s="24"/>
      <c r="C98" s="24"/>
      <c r="D98" s="83"/>
      <c r="E98" s="85"/>
      <c r="F98" s="85"/>
      <c r="G98" s="85"/>
      <c r="H98" s="85"/>
      <c r="I98" s="85"/>
      <c r="J98" s="85"/>
      <c r="K98" s="85"/>
      <c r="L98" s="86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x14ac:dyDescent="0.25">
      <c r="A99" s="20"/>
      <c r="B99" s="24"/>
      <c r="C99" s="24"/>
      <c r="D99" s="83"/>
      <c r="E99" s="85"/>
      <c r="F99" s="85"/>
      <c r="G99" s="85"/>
      <c r="H99" s="85"/>
      <c r="I99" s="85"/>
      <c r="J99" s="85"/>
      <c r="K99" s="85"/>
      <c r="L99" s="86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x14ac:dyDescent="0.25">
      <c r="A100" s="20"/>
      <c r="B100" s="24"/>
      <c r="C100" s="24"/>
      <c r="D100" s="83"/>
      <c r="E100" s="85"/>
      <c r="F100" s="85"/>
      <c r="G100" s="85"/>
      <c r="H100" s="85"/>
      <c r="I100" s="85"/>
      <c r="J100" s="85"/>
      <c r="K100" s="85"/>
      <c r="L100" s="86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x14ac:dyDescent="0.25">
      <c r="A101" s="20"/>
      <c r="B101" s="24"/>
      <c r="C101" s="24"/>
      <c r="D101" s="83"/>
      <c r="E101" s="85"/>
      <c r="F101" s="85"/>
      <c r="G101" s="85"/>
      <c r="H101" s="85"/>
      <c r="I101" s="85"/>
      <c r="J101" s="85"/>
      <c r="K101" s="85"/>
      <c r="L101" s="86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x14ac:dyDescent="0.25">
      <c r="A102" s="20"/>
      <c r="B102" s="24"/>
      <c r="C102" s="24"/>
      <c r="D102" s="83"/>
      <c r="E102" s="85"/>
      <c r="F102" s="85"/>
      <c r="G102" s="85"/>
      <c r="H102" s="85"/>
      <c r="I102" s="85"/>
      <c r="J102" s="85"/>
      <c r="K102" s="85"/>
      <c r="L102" s="86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x14ac:dyDescent="0.25">
      <c r="A103" s="20"/>
      <c r="B103" s="24"/>
      <c r="C103" s="24"/>
      <c r="D103" s="83"/>
      <c r="E103" s="85"/>
      <c r="F103" s="85"/>
      <c r="G103" s="85"/>
      <c r="H103" s="85"/>
      <c r="I103" s="85"/>
      <c r="J103" s="85"/>
      <c r="K103" s="85"/>
      <c r="L103" s="86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x14ac:dyDescent="0.25">
      <c r="A104" s="20"/>
      <c r="B104" s="24"/>
      <c r="C104" s="24"/>
      <c r="D104" s="83"/>
      <c r="E104" s="85"/>
      <c r="F104" s="85"/>
      <c r="G104" s="85"/>
      <c r="H104" s="85"/>
      <c r="I104" s="85"/>
      <c r="J104" s="85"/>
      <c r="K104" s="85"/>
      <c r="L104" s="86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x14ac:dyDescent="0.25">
      <c r="A105" s="20"/>
      <c r="B105" s="24"/>
      <c r="C105" s="24"/>
      <c r="D105" s="86"/>
      <c r="E105" s="86"/>
      <c r="F105" s="86"/>
      <c r="G105" s="86"/>
      <c r="H105" s="86"/>
      <c r="I105" s="86"/>
      <c r="J105" s="86"/>
      <c r="K105" s="86"/>
      <c r="L105" s="86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x14ac:dyDescent="0.25">
      <c r="A106" s="20"/>
      <c r="B106" s="24"/>
      <c r="C106" s="24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x14ac:dyDescent="0.25">
      <c r="A107" s="20"/>
      <c r="B107" s="24"/>
      <c r="C107" s="24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x14ac:dyDescent="0.25">
      <c r="A108" s="20"/>
      <c r="B108" s="24"/>
      <c r="C108" s="24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x14ac:dyDescent="0.25">
      <c r="A109" s="20"/>
      <c r="B109" s="24"/>
      <c r="C109" s="24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x14ac:dyDescent="0.25">
      <c r="A110" s="20"/>
      <c r="B110" s="24"/>
      <c r="C110" s="24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x14ac:dyDescent="0.25">
      <c r="A111" s="20"/>
      <c r="B111" s="24"/>
      <c r="C111" s="24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x14ac:dyDescent="0.25">
      <c r="A112" s="20"/>
      <c r="B112" s="24"/>
      <c r="C112" s="24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x14ac:dyDescent="0.25">
      <c r="A113" s="20"/>
      <c r="B113" s="24"/>
      <c r="C113" s="24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x14ac:dyDescent="0.25">
      <c r="A114" s="20"/>
      <c r="B114" s="24"/>
      <c r="C114" s="24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x14ac:dyDescent="0.25">
      <c r="A115" s="20"/>
      <c r="B115" s="24"/>
      <c r="C115" s="24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x14ac:dyDescent="0.25">
      <c r="A116" s="20"/>
      <c r="B116" s="24"/>
      <c r="C116" s="24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x14ac:dyDescent="0.25">
      <c r="A117" s="20"/>
      <c r="B117" s="24"/>
      <c r="C117" s="24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x14ac:dyDescent="0.25">
      <c r="A118" s="20"/>
      <c r="B118" s="24"/>
      <c r="C118" s="24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x14ac:dyDescent="0.25">
      <c r="A119" s="20"/>
      <c r="B119" s="24"/>
      <c r="C119" s="24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x14ac:dyDescent="0.25">
      <c r="A120" s="20"/>
      <c r="B120" s="24"/>
      <c r="C120" s="24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x14ac:dyDescent="0.25">
      <c r="A121" s="20"/>
      <c r="B121" s="24"/>
      <c r="C121" s="24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x14ac:dyDescent="0.25">
      <c r="A122" s="20"/>
      <c r="B122" s="24"/>
      <c r="C122" s="24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x14ac:dyDescent="0.25">
      <c r="A123" s="20"/>
      <c r="B123" s="24"/>
      <c r="C123" s="24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x14ac:dyDescent="0.25">
      <c r="A124" s="20"/>
      <c r="B124" s="24"/>
      <c r="C124" s="24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x14ac:dyDescent="0.25">
      <c r="A125" s="13"/>
      <c r="B125" s="13"/>
      <c r="C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x14ac:dyDescent="0.25">
      <c r="A126" s="13"/>
      <c r="B126" s="13"/>
      <c r="C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x14ac:dyDescent="0.25">
      <c r="A127" s="13"/>
      <c r="B127" s="13"/>
      <c r="C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x14ac:dyDescent="0.25">
      <c r="A128" s="13"/>
      <c r="B128" s="13"/>
      <c r="C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x14ac:dyDescent="0.25">
      <c r="A129" s="13"/>
      <c r="B129" s="13"/>
      <c r="C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x14ac:dyDescent="0.25">
      <c r="A130" s="13"/>
      <c r="B130" s="13"/>
      <c r="C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x14ac:dyDescent="0.25">
      <c r="A131" s="13"/>
      <c r="B131" s="13"/>
      <c r="C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x14ac:dyDescent="0.25">
      <c r="A132" s="13"/>
      <c r="B132" s="13"/>
      <c r="C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x14ac:dyDescent="0.25">
      <c r="A133" s="13"/>
      <c r="B133" s="13"/>
      <c r="C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x14ac:dyDescent="0.25">
      <c r="A134" s="13"/>
      <c r="B134" s="13"/>
      <c r="C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x14ac:dyDescent="0.25">
      <c r="A135" s="13"/>
      <c r="B135" s="13"/>
      <c r="C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x14ac:dyDescent="0.25">
      <c r="A136" s="13"/>
      <c r="B136" s="13"/>
      <c r="C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x14ac:dyDescent="0.25">
      <c r="A137" s="13"/>
      <c r="B137" s="13"/>
      <c r="C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x14ac:dyDescent="0.25">
      <c r="A138" s="13"/>
      <c r="B138" s="13"/>
      <c r="C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x14ac:dyDescent="0.25">
      <c r="A139" s="13"/>
      <c r="B139" s="13"/>
      <c r="C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x14ac:dyDescent="0.25">
      <c r="A140" s="13"/>
      <c r="B140" s="13"/>
      <c r="C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x14ac:dyDescent="0.25">
      <c r="A141" s="13"/>
      <c r="B141" s="13"/>
      <c r="C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x14ac:dyDescent="0.25">
      <c r="A142" s="13"/>
      <c r="B142" s="13"/>
      <c r="C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x14ac:dyDescent="0.25">
      <c r="A143" s="13"/>
      <c r="B143" s="13"/>
      <c r="C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x14ac:dyDescent="0.25">
      <c r="A144" s="13"/>
      <c r="B144" s="13"/>
      <c r="C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x14ac:dyDescent="0.25">
      <c r="A145" s="13"/>
      <c r="B145" s="13"/>
      <c r="C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x14ac:dyDescent="0.25">
      <c r="A146" s="13"/>
      <c r="B146" s="13"/>
      <c r="C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x14ac:dyDescent="0.25">
      <c r="A147" s="13"/>
      <c r="B147" s="13"/>
      <c r="C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x14ac:dyDescent="0.25">
      <c r="A148" s="13"/>
      <c r="B148" s="13"/>
      <c r="C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x14ac:dyDescent="0.25">
      <c r="A149" s="13"/>
      <c r="B149" s="13"/>
      <c r="C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x14ac:dyDescent="0.25">
      <c r="A150" s="13"/>
      <c r="B150" s="13"/>
      <c r="C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x14ac:dyDescent="0.25">
      <c r="A151" s="13"/>
      <c r="B151" s="13"/>
      <c r="C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x14ac:dyDescent="0.25">
      <c r="A152" s="13"/>
      <c r="B152" s="13"/>
      <c r="C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x14ac:dyDescent="0.25">
      <c r="A153" s="13"/>
      <c r="B153" s="13"/>
      <c r="C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x14ac:dyDescent="0.25">
      <c r="A154" s="13"/>
      <c r="B154" s="13"/>
      <c r="C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x14ac:dyDescent="0.25">
      <c r="A155" s="13"/>
      <c r="B155" s="13"/>
      <c r="C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x14ac:dyDescent="0.25">
      <c r="A156" s="13"/>
      <c r="B156" s="13"/>
      <c r="C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x14ac:dyDescent="0.25">
      <c r="A157" s="13"/>
      <c r="B157" s="13"/>
      <c r="C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x14ac:dyDescent="0.25">
      <c r="A158" s="13"/>
      <c r="B158" s="13"/>
      <c r="C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x14ac:dyDescent="0.25">
      <c r="A159" s="13"/>
      <c r="B159" s="13"/>
      <c r="C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x14ac:dyDescent="0.25">
      <c r="A160" s="13"/>
      <c r="B160" s="13"/>
      <c r="C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x14ac:dyDescent="0.25">
      <c r="A161" s="13"/>
      <c r="B161" s="13"/>
      <c r="C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x14ac:dyDescent="0.25">
      <c r="A162" s="13"/>
      <c r="B162" s="13"/>
      <c r="C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x14ac:dyDescent="0.25">
      <c r="A163" s="13"/>
      <c r="B163" s="13"/>
      <c r="C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x14ac:dyDescent="0.25">
      <c r="A164" s="13"/>
      <c r="B164" s="13"/>
      <c r="C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x14ac:dyDescent="0.25">
      <c r="A165" s="13"/>
      <c r="B165" s="13"/>
      <c r="C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x14ac:dyDescent="0.25">
      <c r="A166" s="13"/>
      <c r="B166" s="13"/>
      <c r="C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x14ac:dyDescent="0.25">
      <c r="A167" s="13"/>
      <c r="B167" s="13"/>
      <c r="C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x14ac:dyDescent="0.25">
      <c r="A168" s="13"/>
      <c r="B168" s="13"/>
      <c r="C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x14ac:dyDescent="0.25">
      <c r="A169" s="13"/>
      <c r="B169" s="13"/>
      <c r="C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x14ac:dyDescent="0.25">
      <c r="A170" s="13"/>
      <c r="B170" s="13"/>
      <c r="C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ht="42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ht="48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ht="46.5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ht="34.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ht="45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ht="46.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ht="4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ht="43.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ht="37.5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ht="36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ht="43.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ht="39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ht="39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ht="42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ht="42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ht="42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ht="36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ht="37.5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ht="48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ht="37.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ht="58.5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7"/>
      <c r="Q250" s="1"/>
      <c r="R250" s="18"/>
      <c r="S250" s="19"/>
      <c r="T250" s="19"/>
      <c r="U250" s="13"/>
      <c r="V250" s="13"/>
      <c r="W250" s="13"/>
      <c r="X250" s="13"/>
      <c r="Y250" s="13"/>
    </row>
    <row r="251" spans="1:25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7"/>
      <c r="Q251" s="1"/>
      <c r="R251" s="18"/>
      <c r="S251" s="19"/>
      <c r="T251" s="19"/>
      <c r="U251" s="13"/>
      <c r="V251" s="13"/>
      <c r="W251" s="13"/>
      <c r="X251" s="13"/>
      <c r="Y251" s="13"/>
    </row>
    <row r="252" spans="1:25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7"/>
      <c r="Q252" s="1"/>
      <c r="R252" s="18"/>
      <c r="S252" s="19"/>
      <c r="T252" s="19"/>
      <c r="U252" s="13"/>
      <c r="V252" s="13"/>
      <c r="W252" s="13"/>
      <c r="X252" s="13"/>
      <c r="Y252" s="13"/>
    </row>
    <row r="253" spans="1:25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7"/>
      <c r="Q253" s="1"/>
      <c r="R253" s="18"/>
      <c r="S253" s="19"/>
      <c r="T253" s="19"/>
      <c r="U253" s="13"/>
      <c r="V253" s="13"/>
      <c r="W253" s="13"/>
      <c r="X253" s="13"/>
      <c r="Y253" s="13"/>
    </row>
    <row r="254" spans="1:25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7"/>
      <c r="Q254" s="1"/>
      <c r="R254" s="18"/>
      <c r="S254" s="19"/>
      <c r="T254" s="19"/>
      <c r="U254" s="13"/>
      <c r="V254" s="13"/>
      <c r="W254" s="13"/>
      <c r="X254" s="13"/>
      <c r="Y254" s="13"/>
    </row>
    <row r="255" spans="1:25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7"/>
      <c r="Q255" s="1"/>
      <c r="R255" s="18"/>
      <c r="S255" s="19"/>
      <c r="T255" s="19"/>
      <c r="U255" s="13"/>
      <c r="V255" s="13"/>
      <c r="W255" s="13"/>
      <c r="X255" s="13"/>
      <c r="Y255" s="13"/>
    </row>
    <row r="256" spans="1:25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7"/>
      <c r="Q256" s="1"/>
      <c r="R256" s="18"/>
      <c r="S256" s="19"/>
      <c r="T256" s="19"/>
      <c r="U256" s="13"/>
      <c r="V256" s="13"/>
      <c r="W256" s="13"/>
      <c r="X256" s="13"/>
      <c r="Y256" s="13"/>
    </row>
    <row r="257" spans="1:25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ht="15.75" customHeight="1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ht="15.75" customHeight="1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ht="15.75" customHeight="1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ht="15.75" customHeight="1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ht="15.75" customHeight="1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ht="15.75" customHeight="1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ht="15.75" customHeight="1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ht="15.75" customHeight="1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ht="15.75" customHeight="1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ht="15.75" customHeight="1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ht="15.75" customHeight="1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ht="15.75" customHeight="1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ht="15.75" customHeight="1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ht="15.75" customHeight="1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ht="15.75" customHeight="1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ht="15.75" customHeight="1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ht="15.75" customHeight="1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ht="15.75" customHeight="1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ht="15.75" customHeight="1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ht="15.75" customHeight="1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ht="15.75" customHeight="1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ht="15.75" customHeight="1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ht="15.75" customHeight="1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ht="15.75" customHeight="1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ht="15.75" customHeight="1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ht="15.75" customHeight="1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ht="15.75" customHeight="1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ht="15.75" customHeight="1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ht="15.75" customHeight="1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ht="15.75" customHeight="1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ht="15.75" customHeight="1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ht="15.75" customHeight="1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ht="15.75" customHeight="1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ht="15.75" customHeight="1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15.75" customHeight="1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ht="15.75" customHeight="1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ht="15.75" customHeight="1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ht="15.75" customHeight="1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ht="15.75" customHeight="1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ht="15.75" customHeight="1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ht="15.75" customHeight="1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ht="15.75" customHeight="1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ht="15.75" customHeight="1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ht="15.75" customHeight="1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ht="15.75" customHeight="1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ht="15.75" customHeight="1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ht="15.75" customHeight="1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ht="15.75" customHeight="1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ht="15.75" customHeight="1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ht="15.75" customHeight="1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ht="15.75" customHeight="1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ht="15.75" customHeight="1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ht="15.75" customHeight="1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ht="15.75" customHeight="1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ht="15.75" customHeight="1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ht="15.75" customHeight="1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ht="15.75" customHeight="1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ht="15.75" customHeight="1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ht="15.75" customHeight="1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ht="15.75" customHeight="1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ht="15.75" customHeight="1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ht="15.75" customHeight="1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ht="15.75" customHeight="1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ht="15.75" customHeight="1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ht="15.75" customHeight="1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ht="15.75" customHeight="1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ht="15.75" customHeight="1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ht="15.75" customHeight="1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ht="15.75" customHeight="1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ht="15.75" customHeight="1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ht="15.75" customHeight="1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ht="15.75" customHeight="1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ht="15.75" customHeight="1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ht="15.75" customHeight="1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ht="15.75" customHeight="1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ht="15.75" customHeight="1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ht="15.75" customHeight="1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ht="15.75" customHeight="1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ht="15.75" customHeight="1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ht="15.75" customHeight="1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ht="15.75" customHeight="1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ht="15.75" customHeight="1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ht="15.75" customHeight="1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ht="15.75" customHeight="1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ht="15.75" customHeight="1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ht="15.75" customHeight="1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ht="15.75" customHeight="1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ht="15.75" customHeight="1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ht="15.75" customHeight="1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15.75" customHeight="1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ht="15.75" customHeight="1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ht="15.75" customHeight="1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ht="15.75" customHeight="1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ht="15.75" customHeight="1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ht="15.75" customHeight="1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ht="15.75" customHeight="1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ht="15.75" customHeight="1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ht="15.75" customHeight="1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ht="15.75" customHeight="1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ht="15.75" customHeight="1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ht="15.75" customHeight="1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ht="15.75" customHeight="1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ht="15.75" customHeight="1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ht="15.75" customHeight="1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ht="15.75" customHeight="1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ht="15.75" customHeight="1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ht="15.75" customHeight="1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ht="15.75" customHeight="1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ht="15.75" customHeight="1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ht="15.75" customHeight="1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ht="15.75" customHeight="1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ht="15.75" customHeight="1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ht="15.75" customHeight="1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ht="15.75" customHeight="1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ht="15.75" customHeight="1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ht="15.75" customHeight="1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ht="15.75" customHeight="1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ht="15.75" customHeight="1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ht="15.75" customHeight="1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ht="15.75" customHeight="1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ht="15.75" customHeight="1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15.75" customHeight="1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ht="15.75" customHeight="1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15.75" customHeight="1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ht="15.75" customHeight="1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ht="15.75" customHeight="1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ht="15.75" customHeight="1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ht="15.75" customHeight="1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ht="15.75" customHeight="1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ht="15.75" customHeight="1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ht="15.75" customHeight="1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ht="15.75" customHeight="1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ht="15.75" customHeight="1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ht="15.75" customHeight="1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ht="15.75" customHeight="1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ht="15.75" customHeight="1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ht="15.75" customHeight="1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ht="15.75" customHeight="1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ht="15.75" customHeight="1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ht="15.75" customHeight="1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ht="15.75" customHeight="1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ht="15.75" customHeight="1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ht="15.75" customHeight="1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ht="15.75" customHeight="1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ht="15.75" customHeight="1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ht="15.75" customHeight="1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ht="15.75" customHeight="1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ht="15.75" customHeight="1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ht="15.75" customHeight="1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ht="15.75" customHeight="1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ht="15.75" customHeight="1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ht="15.75" customHeight="1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ht="15.75" customHeight="1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ht="15.75" customHeight="1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ht="15.75" customHeight="1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ht="15.75" customHeight="1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ht="15.75" customHeight="1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ht="15.75" customHeight="1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ht="15.75" customHeight="1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ht="15.75" customHeight="1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ht="15.75" customHeight="1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ht="15.75" customHeight="1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ht="15.75" customHeight="1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ht="15.75" customHeight="1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ht="15.75" customHeight="1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ht="15.75" customHeight="1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ht="15.75" customHeight="1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ht="15.75" customHeight="1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ht="15.75" customHeight="1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ht="15.75" customHeight="1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ht="15.75" customHeight="1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ht="15.75" customHeight="1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ht="15.75" customHeight="1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ht="15.75" customHeight="1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ht="15.75" customHeight="1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ht="15.75" customHeight="1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ht="15.75" customHeight="1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ht="15.75" customHeight="1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ht="15.75" customHeight="1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ht="15.75" customHeight="1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ht="15.75" customHeight="1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ht="15.75" customHeight="1" x14ac:dyDescent="0.25"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ht="15.75" customHeight="1" x14ac:dyDescent="0.25"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ht="15.75" customHeight="1" x14ac:dyDescent="0.25"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ht="15.75" customHeight="1" x14ac:dyDescent="0.25"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ht="15.75" customHeight="1" x14ac:dyDescent="0.25"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ht="15.75" customHeight="1" x14ac:dyDescent="0.25"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ht="15.75" customHeight="1" x14ac:dyDescent="0.25"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ht="15.75" customHeight="1" x14ac:dyDescent="0.25"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ht="15.75" customHeight="1" x14ac:dyDescent="0.25"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ht="15.75" customHeight="1" x14ac:dyDescent="0.25"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6:25" ht="15.75" customHeight="1" x14ac:dyDescent="0.25"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6:25" ht="15.75" customHeight="1" x14ac:dyDescent="0.25"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6:25" ht="15.75" customHeight="1" x14ac:dyDescent="0.25"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6:25" ht="15.75" customHeight="1" x14ac:dyDescent="0.25"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6:25" ht="15.75" customHeight="1" x14ac:dyDescent="0.25"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6:25" ht="15.75" customHeight="1" x14ac:dyDescent="0.25"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6:25" ht="15.75" customHeight="1" x14ac:dyDescent="0.25"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6:25" ht="15.75" customHeight="1" x14ac:dyDescent="0.25"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6:25" ht="15.75" customHeight="1" x14ac:dyDescent="0.25"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6:25" ht="15.75" customHeight="1" x14ac:dyDescent="0.25"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6:25" ht="15.75" customHeight="1" x14ac:dyDescent="0.25"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6:25" ht="15.75" customHeight="1" x14ac:dyDescent="0.25"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6:25" ht="15.75" customHeight="1" x14ac:dyDescent="0.25"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6:25" ht="15.75" customHeight="1" x14ac:dyDescent="0.25"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6:25" ht="15.75" customHeight="1" x14ac:dyDescent="0.25"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6:25" ht="15.75" customHeight="1" x14ac:dyDescent="0.25"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6:25" ht="15.75" customHeight="1" x14ac:dyDescent="0.25"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6:25" ht="15.75" customHeight="1" x14ac:dyDescent="0.25"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6:25" ht="15.75" customHeight="1" x14ac:dyDescent="0.25"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6:25" ht="15.75" customHeight="1" x14ac:dyDescent="0.25"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6:25" ht="15.75" customHeight="1" x14ac:dyDescent="0.25"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6:25" ht="15.75" customHeight="1" x14ac:dyDescent="0.25"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6:25" ht="15.75" customHeight="1" x14ac:dyDescent="0.25"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6:25" ht="15.75" customHeight="1" x14ac:dyDescent="0.25"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6:25" ht="15.75" customHeight="1" x14ac:dyDescent="0.25"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6:25" ht="15.75" customHeight="1" x14ac:dyDescent="0.25"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6:25" ht="15.75" customHeight="1" x14ac:dyDescent="0.25"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6:25" ht="15.75" customHeight="1" x14ac:dyDescent="0.25"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6:25" ht="15.75" customHeight="1" x14ac:dyDescent="0.25"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6:25" ht="15.75" customHeight="1" x14ac:dyDescent="0.25"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6:25" ht="15.75" customHeight="1" x14ac:dyDescent="0.25"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6:25" ht="15.75" customHeight="1" x14ac:dyDescent="0.25"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6:25" ht="15.75" customHeight="1" x14ac:dyDescent="0.25"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6:25" ht="15.75" customHeight="1" x14ac:dyDescent="0.25"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6:25" ht="15.75" customHeight="1" x14ac:dyDescent="0.25"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6:25" ht="15.75" customHeight="1" x14ac:dyDescent="0.25"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6:25" ht="15.75" customHeight="1" x14ac:dyDescent="0.25"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6:25" ht="15.75" customHeight="1" x14ac:dyDescent="0.25"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6:25" ht="15.75" customHeight="1" x14ac:dyDescent="0.25"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6:25" ht="15.75" customHeight="1" x14ac:dyDescent="0.25"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6:25" ht="15.75" customHeight="1" x14ac:dyDescent="0.25"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6:25" ht="15.75" customHeight="1" x14ac:dyDescent="0.25"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6:25" ht="15.75" customHeight="1" x14ac:dyDescent="0.25"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6:25" ht="15.75" customHeight="1" x14ac:dyDescent="0.25"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6:25" ht="15.75" customHeight="1" x14ac:dyDescent="0.25"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6:25" ht="15.75" customHeight="1" x14ac:dyDescent="0.25"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6:25" ht="15.75" customHeight="1" x14ac:dyDescent="0.25"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6:25" ht="15.75" customHeight="1" x14ac:dyDescent="0.25"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6:25" ht="15.75" customHeight="1" x14ac:dyDescent="0.25"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6:25" ht="15.75" customHeight="1" x14ac:dyDescent="0.25"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6:25" ht="15.75" customHeight="1" x14ac:dyDescent="0.25"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6:25" ht="15.75" customHeight="1" x14ac:dyDescent="0.25"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6:25" ht="15.75" customHeight="1" x14ac:dyDescent="0.25"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6:25" ht="15.75" customHeight="1" x14ac:dyDescent="0.25"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6:25" ht="15.75" customHeight="1" x14ac:dyDescent="0.25"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6:25" ht="15.75" customHeight="1" x14ac:dyDescent="0.25"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6:25" ht="15.75" customHeight="1" x14ac:dyDescent="0.25"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6:25" ht="15.75" customHeight="1" x14ac:dyDescent="0.25"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6:25" ht="15.75" customHeight="1" x14ac:dyDescent="0.25"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6:25" ht="15.75" customHeight="1" x14ac:dyDescent="0.25"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6:25" ht="15.75" customHeight="1" x14ac:dyDescent="0.25"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6:25" ht="15.75" customHeight="1" x14ac:dyDescent="0.25"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6:25" ht="15.75" customHeight="1" x14ac:dyDescent="0.25"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6:25" ht="15.75" customHeight="1" x14ac:dyDescent="0.25"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6:25" ht="15.75" customHeight="1" x14ac:dyDescent="0.25"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6:25" ht="15.75" customHeight="1" x14ac:dyDescent="0.25"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6:25" ht="15.75" customHeight="1" x14ac:dyDescent="0.25"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6:25" ht="15.75" customHeight="1" x14ac:dyDescent="0.25"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6:25" ht="15.75" customHeight="1" x14ac:dyDescent="0.25"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6:25" ht="15.75" customHeight="1" x14ac:dyDescent="0.25"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6:25" ht="15.75" customHeight="1" x14ac:dyDescent="0.25"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6:25" ht="15.75" customHeight="1" x14ac:dyDescent="0.25"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6:25" ht="15.75" customHeight="1" x14ac:dyDescent="0.25"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6:25" ht="15.75" customHeight="1" x14ac:dyDescent="0.25"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6:25" ht="15.75" customHeight="1" x14ac:dyDescent="0.25"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6:25" ht="15.75" customHeight="1" x14ac:dyDescent="0.25"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6:25" ht="15.75" customHeight="1" x14ac:dyDescent="0.25"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6:25" ht="15.75" customHeight="1" x14ac:dyDescent="0.25"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6:25" ht="15.75" customHeight="1" x14ac:dyDescent="0.25"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6:25" ht="15.75" customHeight="1" x14ac:dyDescent="0.25"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6:25" ht="15.75" customHeight="1" x14ac:dyDescent="0.25"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6:25" ht="15.75" customHeight="1" x14ac:dyDescent="0.25"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6:25" ht="15.75" customHeight="1" x14ac:dyDescent="0.25"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6:25" ht="15.75" customHeight="1" x14ac:dyDescent="0.25"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6:25" ht="15.75" customHeight="1" x14ac:dyDescent="0.25"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6:25" ht="15.75" customHeight="1" x14ac:dyDescent="0.25"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6:25" ht="15.75" customHeight="1" x14ac:dyDescent="0.25"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6:25" ht="15.75" customHeight="1" x14ac:dyDescent="0.25"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6:25" ht="15.75" customHeight="1" x14ac:dyDescent="0.25"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6:25" ht="15.75" customHeight="1" x14ac:dyDescent="0.25"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6:25" ht="15.75" customHeight="1" x14ac:dyDescent="0.25"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6:25" ht="15.75" customHeight="1" x14ac:dyDescent="0.25"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6:25" ht="15.75" customHeight="1" x14ac:dyDescent="0.25"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6:25" ht="15.75" customHeight="1" x14ac:dyDescent="0.25"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6:25" ht="15.75" customHeight="1" x14ac:dyDescent="0.25"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6:25" ht="15.75" customHeight="1" x14ac:dyDescent="0.25"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6:25" ht="15.75" customHeight="1" x14ac:dyDescent="0.25"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6:25" ht="15.75" customHeight="1" x14ac:dyDescent="0.25"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6:25" ht="15.75" customHeight="1" x14ac:dyDescent="0.25"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6:25" ht="15.75" customHeight="1" x14ac:dyDescent="0.25"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6:25" ht="15.75" customHeight="1" x14ac:dyDescent="0.25"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6:25" ht="15.75" customHeight="1" x14ac:dyDescent="0.25"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6:25" ht="15.75" customHeight="1" x14ac:dyDescent="0.25"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6:25" ht="15.75" customHeight="1" x14ac:dyDescent="0.25"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6:25" ht="15.75" customHeight="1" x14ac:dyDescent="0.25"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6:25" ht="15.75" customHeight="1" x14ac:dyDescent="0.25"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6:25" ht="15.75" customHeight="1" x14ac:dyDescent="0.25"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6:25" ht="15.75" customHeight="1" x14ac:dyDescent="0.25"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6:25" ht="15.75" customHeight="1" x14ac:dyDescent="0.25"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6:25" ht="15.75" customHeight="1" x14ac:dyDescent="0.25"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6:25" ht="15.75" customHeight="1" x14ac:dyDescent="0.25"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6:25" ht="15.75" customHeight="1" x14ac:dyDescent="0.25"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6:25" ht="15.75" customHeight="1" x14ac:dyDescent="0.25"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6:25" ht="15.75" customHeight="1" x14ac:dyDescent="0.25"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6:25" ht="15.75" customHeight="1" x14ac:dyDescent="0.25"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6:25" ht="15.75" customHeight="1" x14ac:dyDescent="0.25"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6:25" ht="15.75" customHeight="1" x14ac:dyDescent="0.25"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6:25" ht="15.75" customHeight="1" x14ac:dyDescent="0.25"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6:25" ht="15.75" customHeight="1" x14ac:dyDescent="0.25"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6:25" ht="15.75" customHeight="1" x14ac:dyDescent="0.25"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6:25" ht="15.75" customHeight="1" x14ac:dyDescent="0.25"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6:25" ht="15.75" customHeight="1" x14ac:dyDescent="0.25"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6:25" ht="15.75" customHeight="1" x14ac:dyDescent="0.25"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6:25" ht="15.75" customHeight="1" x14ac:dyDescent="0.25"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6:25" ht="15.75" customHeight="1" x14ac:dyDescent="0.25"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6:25" ht="15.75" customHeight="1" x14ac:dyDescent="0.25"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6:25" ht="15.75" customHeight="1" x14ac:dyDescent="0.25"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6:25" ht="15.75" customHeight="1" x14ac:dyDescent="0.25"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6:25" ht="15.75" customHeight="1" x14ac:dyDescent="0.25"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6:25" ht="15.75" customHeight="1" x14ac:dyDescent="0.25"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6:25" ht="15.75" customHeight="1" x14ac:dyDescent="0.25"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6:25" ht="15.75" customHeight="1" x14ac:dyDescent="0.25"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6:25" ht="15.75" customHeight="1" x14ac:dyDescent="0.25"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6:25" ht="15.75" customHeight="1" x14ac:dyDescent="0.25"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6:25" ht="15.75" customHeight="1" x14ac:dyDescent="0.25"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6:25" ht="15.75" customHeight="1" x14ac:dyDescent="0.25"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6:25" ht="15.75" customHeight="1" x14ac:dyDescent="0.25"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6:25" ht="15.75" customHeight="1" x14ac:dyDescent="0.25"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6:25" ht="15.75" customHeight="1" x14ac:dyDescent="0.25"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6:25" ht="15.75" customHeight="1" x14ac:dyDescent="0.25"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6:25" ht="15.75" customHeight="1" x14ac:dyDescent="0.25"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6:25" ht="15.75" customHeight="1" x14ac:dyDescent="0.25"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6:25" ht="15.75" customHeight="1" x14ac:dyDescent="0.25"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6:25" ht="15.75" customHeight="1" x14ac:dyDescent="0.25"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6:25" ht="15.75" customHeight="1" x14ac:dyDescent="0.25"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6:25" ht="15.75" customHeight="1" x14ac:dyDescent="0.25"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6:25" ht="15.75" customHeight="1" x14ac:dyDescent="0.25"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6:25" ht="15.75" customHeight="1" x14ac:dyDescent="0.25"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6:25" ht="15.75" customHeight="1" x14ac:dyDescent="0.25"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6:25" ht="15.75" customHeight="1" x14ac:dyDescent="0.25"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6:25" ht="15.75" customHeight="1" x14ac:dyDescent="0.25"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6:25" ht="15.75" customHeight="1" x14ac:dyDescent="0.25"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6:25" ht="15.75" customHeight="1" x14ac:dyDescent="0.25"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6:25" ht="15.75" customHeight="1" x14ac:dyDescent="0.25"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6:25" ht="15.75" customHeight="1" x14ac:dyDescent="0.25"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6:25" ht="15.75" customHeight="1" x14ac:dyDescent="0.25"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6:25" ht="15.75" customHeight="1" x14ac:dyDescent="0.25"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6:25" ht="15.75" customHeight="1" x14ac:dyDescent="0.25"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6:25" ht="15.75" customHeight="1" x14ac:dyDescent="0.25"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6:25" ht="15.75" customHeight="1" x14ac:dyDescent="0.25"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6:25" ht="15.75" customHeight="1" x14ac:dyDescent="0.25"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6:25" ht="15.75" customHeight="1" x14ac:dyDescent="0.25"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6:25" ht="15.75" customHeight="1" x14ac:dyDescent="0.25"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6:25" ht="15.75" customHeight="1" x14ac:dyDescent="0.25"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6:25" ht="15.75" customHeight="1" x14ac:dyDescent="0.25"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6:25" ht="15.75" customHeight="1" x14ac:dyDescent="0.25"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6:25" ht="15.75" customHeight="1" x14ac:dyDescent="0.25"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6:25" ht="15.75" customHeight="1" x14ac:dyDescent="0.25"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6:25" ht="15.75" customHeight="1" x14ac:dyDescent="0.25"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6:25" ht="15.75" customHeight="1" x14ac:dyDescent="0.25"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6:25" ht="15.75" customHeight="1" x14ac:dyDescent="0.25"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6:25" ht="15.75" customHeight="1" x14ac:dyDescent="0.25"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6:25" ht="15.75" customHeight="1" x14ac:dyDescent="0.25"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6:25" ht="15.75" customHeight="1" x14ac:dyDescent="0.25"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6:25" ht="15.75" customHeight="1" x14ac:dyDescent="0.25"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6:25" ht="15.75" customHeight="1" x14ac:dyDescent="0.25"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6:25" ht="15.75" customHeight="1" x14ac:dyDescent="0.25"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6:25" ht="15.75" customHeight="1" x14ac:dyDescent="0.25"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6:25" ht="15.75" customHeight="1" x14ac:dyDescent="0.25"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6:25" ht="15.75" customHeight="1" x14ac:dyDescent="0.25"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6:25" ht="15.75" customHeight="1" x14ac:dyDescent="0.25"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6:25" ht="15.75" customHeight="1" x14ac:dyDescent="0.25"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6:25" ht="15.75" customHeight="1" x14ac:dyDescent="0.25"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6:25" ht="15.75" customHeight="1" x14ac:dyDescent="0.25"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6:25" ht="15.75" customHeight="1" x14ac:dyDescent="0.25"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6:25" ht="15.75" customHeight="1" x14ac:dyDescent="0.25"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6:25" ht="15.75" customHeight="1" x14ac:dyDescent="0.25"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6:25" ht="15.75" customHeight="1" x14ac:dyDescent="0.25"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6:25" ht="15.75" customHeight="1" x14ac:dyDescent="0.25"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6:25" ht="15.75" customHeight="1" x14ac:dyDescent="0.25"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6:25" ht="15.75" customHeight="1" x14ac:dyDescent="0.25"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6:25" ht="15.75" customHeight="1" x14ac:dyDescent="0.25"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6:25" ht="15.75" customHeight="1" x14ac:dyDescent="0.25"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6:25" ht="15.75" customHeight="1" x14ac:dyDescent="0.25"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6:25" ht="15.75" customHeight="1" x14ac:dyDescent="0.25"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6:25" ht="15.75" customHeight="1" x14ac:dyDescent="0.25"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6:25" ht="15.75" customHeight="1" x14ac:dyDescent="0.25"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6:25" ht="15.75" customHeight="1" x14ac:dyDescent="0.25"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6:25" ht="15.75" customHeight="1" x14ac:dyDescent="0.25"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6:25" ht="15.75" customHeight="1" x14ac:dyDescent="0.25"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6:25" ht="15.75" customHeight="1" x14ac:dyDescent="0.25"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6:25" ht="15.75" customHeight="1" x14ac:dyDescent="0.25"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6:25" ht="15.75" customHeight="1" x14ac:dyDescent="0.25"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6:25" ht="15.75" customHeight="1" x14ac:dyDescent="0.25"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6:25" ht="15.75" customHeight="1" x14ac:dyDescent="0.25"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6:25" ht="15.75" customHeight="1" x14ac:dyDescent="0.25"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6:25" ht="15.75" customHeight="1" x14ac:dyDescent="0.25"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6:25" ht="15.75" customHeight="1" x14ac:dyDescent="0.25"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6:25" ht="15.75" customHeight="1" x14ac:dyDescent="0.25"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6:25" ht="15.75" customHeight="1" x14ac:dyDescent="0.25"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6:25" ht="15.75" customHeight="1" x14ac:dyDescent="0.25"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6:25" ht="15.75" customHeight="1" x14ac:dyDescent="0.25"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6:25" ht="15.75" customHeight="1" x14ac:dyDescent="0.25"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6:25" ht="15.75" customHeight="1" x14ac:dyDescent="0.25"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6:25" ht="15.75" customHeight="1" x14ac:dyDescent="0.25"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6:25" ht="15.75" customHeight="1" x14ac:dyDescent="0.25"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6:25" ht="15.75" customHeight="1" x14ac:dyDescent="0.25"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6:25" ht="15.75" customHeight="1" x14ac:dyDescent="0.25"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6:25" ht="15.75" customHeight="1" x14ac:dyDescent="0.25"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6:25" ht="15.75" customHeight="1" x14ac:dyDescent="0.25"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6:25" ht="15.75" customHeight="1" x14ac:dyDescent="0.25"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6:25" ht="15.75" customHeight="1" x14ac:dyDescent="0.25"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6:25" ht="15.75" customHeight="1" x14ac:dyDescent="0.25"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6:25" ht="15.75" customHeight="1" x14ac:dyDescent="0.25"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6:25" ht="15.75" customHeight="1" x14ac:dyDescent="0.25"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6:25" ht="15.75" customHeight="1" x14ac:dyDescent="0.25"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6:25" ht="15.75" customHeight="1" x14ac:dyDescent="0.25"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6:25" ht="15.75" customHeight="1" x14ac:dyDescent="0.25"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6:25" ht="15.75" customHeight="1" x14ac:dyDescent="0.25"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6:25" ht="15.75" customHeight="1" x14ac:dyDescent="0.25"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6:25" ht="15.75" customHeight="1" x14ac:dyDescent="0.25"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6:25" ht="15.75" customHeight="1" x14ac:dyDescent="0.25"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6:25" ht="15.75" customHeight="1" x14ac:dyDescent="0.25"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6:25" ht="15.75" customHeight="1" x14ac:dyDescent="0.25"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6:25" ht="15.75" customHeight="1" x14ac:dyDescent="0.25"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6:25" ht="15.75" customHeight="1" x14ac:dyDescent="0.25"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6:25" ht="15.75" customHeight="1" x14ac:dyDescent="0.25"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6:25" ht="15.75" customHeight="1" x14ac:dyDescent="0.25"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6:25" ht="15.75" customHeight="1" x14ac:dyDescent="0.25"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6:25" ht="15.75" customHeight="1" x14ac:dyDescent="0.25"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6:25" ht="15.75" customHeight="1" x14ac:dyDescent="0.25"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6:25" ht="15.75" customHeight="1" x14ac:dyDescent="0.25"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6:25" ht="15.75" customHeight="1" x14ac:dyDescent="0.25"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6:25" ht="15.75" customHeight="1" x14ac:dyDescent="0.25"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6:25" ht="15.75" customHeight="1" x14ac:dyDescent="0.25"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6:25" ht="15.75" customHeight="1" x14ac:dyDescent="0.25"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6:25" ht="15.75" customHeight="1" x14ac:dyDescent="0.25"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6:25" ht="15.75" customHeight="1" x14ac:dyDescent="0.25"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6:25" ht="15.75" customHeight="1" x14ac:dyDescent="0.25"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6:25" ht="15.75" customHeight="1" x14ac:dyDescent="0.25"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6:25" ht="15.75" customHeight="1" x14ac:dyDescent="0.25"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6:25" ht="15.75" customHeight="1" x14ac:dyDescent="0.25"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6:25" ht="15.75" customHeight="1" x14ac:dyDescent="0.25"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6:25" ht="15.75" customHeight="1" x14ac:dyDescent="0.25"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6:25" ht="15.75" customHeight="1" x14ac:dyDescent="0.25"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6:25" ht="15.75" customHeight="1" x14ac:dyDescent="0.25"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6:25" ht="15.75" customHeight="1" x14ac:dyDescent="0.25"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6:25" ht="15.75" customHeight="1" x14ac:dyDescent="0.25"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6:25" ht="15.75" customHeight="1" x14ac:dyDescent="0.25"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6:25" ht="15.75" customHeight="1" x14ac:dyDescent="0.25"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6:25" ht="15.75" customHeight="1" x14ac:dyDescent="0.25"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6:25" ht="15.75" customHeight="1" x14ac:dyDescent="0.25"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6:25" ht="15.75" customHeight="1" x14ac:dyDescent="0.25"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6:25" ht="15.75" customHeight="1" x14ac:dyDescent="0.25"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6:25" ht="15.75" customHeight="1" x14ac:dyDescent="0.25"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6:25" ht="15.75" customHeight="1" x14ac:dyDescent="0.25"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6:25" ht="15.75" customHeight="1" x14ac:dyDescent="0.25"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6:25" ht="15.75" customHeight="1" x14ac:dyDescent="0.25"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6:25" ht="15.75" customHeight="1" x14ac:dyDescent="0.25"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6:25" ht="15.75" customHeight="1" x14ac:dyDescent="0.25"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6:25" ht="15.75" customHeight="1" x14ac:dyDescent="0.25"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6:25" ht="15.75" customHeight="1" x14ac:dyDescent="0.25"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6:25" ht="15.75" customHeight="1" x14ac:dyDescent="0.25"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6:25" ht="15.75" customHeight="1" x14ac:dyDescent="0.25"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6:25" ht="15.75" customHeight="1" x14ac:dyDescent="0.25"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6:25" ht="15.75" customHeight="1" x14ac:dyDescent="0.25"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6:25" ht="15.75" customHeight="1" x14ac:dyDescent="0.25"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6:25" ht="15.75" customHeight="1" x14ac:dyDescent="0.25"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6:25" ht="15.75" customHeight="1" x14ac:dyDescent="0.25"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6:25" ht="15.75" customHeight="1" x14ac:dyDescent="0.25"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6:25" ht="15.75" customHeight="1" x14ac:dyDescent="0.25"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6:25" ht="15.75" customHeight="1" x14ac:dyDescent="0.25"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6:25" ht="15.75" customHeight="1" x14ac:dyDescent="0.25"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6:25" ht="15.75" customHeight="1" x14ac:dyDescent="0.25"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6:25" ht="15.75" customHeight="1" x14ac:dyDescent="0.25"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6:25" ht="15.75" customHeight="1" x14ac:dyDescent="0.25"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6:25" ht="15.75" customHeight="1" x14ac:dyDescent="0.25"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6:25" ht="15.75" customHeight="1" x14ac:dyDescent="0.25"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6:25" ht="15.75" customHeight="1" x14ac:dyDescent="0.25"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6:25" ht="15.75" customHeight="1" x14ac:dyDescent="0.25"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6:25" ht="15.75" customHeight="1" x14ac:dyDescent="0.25"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6:25" ht="15.75" customHeight="1" x14ac:dyDescent="0.25"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6:25" ht="15.75" customHeight="1" x14ac:dyDescent="0.25"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6:25" ht="15.75" customHeight="1" x14ac:dyDescent="0.25"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6:25" ht="15.75" customHeight="1" x14ac:dyDescent="0.25"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6:25" ht="15.75" customHeight="1" x14ac:dyDescent="0.25"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6:25" ht="15.75" customHeight="1" x14ac:dyDescent="0.25"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6:25" ht="15.75" customHeight="1" x14ac:dyDescent="0.25"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6:25" ht="15.75" customHeight="1" x14ac:dyDescent="0.25"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6:25" ht="15.75" customHeight="1" x14ac:dyDescent="0.25"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6:25" ht="15.75" customHeight="1" x14ac:dyDescent="0.25"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6:25" ht="15.75" customHeight="1" x14ac:dyDescent="0.25"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6:25" ht="15.75" customHeight="1" x14ac:dyDescent="0.25"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6:25" ht="15.75" customHeight="1" x14ac:dyDescent="0.25"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6:25" ht="15.75" customHeight="1" x14ac:dyDescent="0.25"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6:25" ht="15.75" customHeight="1" x14ac:dyDescent="0.25"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6:25" ht="15.75" customHeight="1" x14ac:dyDescent="0.25"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6:25" ht="15.75" customHeight="1" x14ac:dyDescent="0.25"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6:25" ht="15.75" customHeight="1" x14ac:dyDescent="0.25"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6:25" ht="15.75" customHeight="1" x14ac:dyDescent="0.25"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6:25" ht="15.75" customHeight="1" x14ac:dyDescent="0.25"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6:25" ht="15.75" customHeight="1" x14ac:dyDescent="0.25"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6:25" ht="15.75" customHeight="1" x14ac:dyDescent="0.25"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6:25" ht="15.75" customHeight="1" x14ac:dyDescent="0.25"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6:25" ht="15.75" customHeight="1" x14ac:dyDescent="0.25"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6:25" ht="15.75" customHeight="1" x14ac:dyDescent="0.25"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6:25" ht="15.75" customHeight="1" x14ac:dyDescent="0.25"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6:25" ht="15.75" customHeight="1" x14ac:dyDescent="0.25"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6:25" ht="15.75" customHeight="1" x14ac:dyDescent="0.25"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6:25" ht="15.75" customHeight="1" x14ac:dyDescent="0.25"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6:25" ht="15.75" customHeight="1" x14ac:dyDescent="0.25"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6:25" ht="15.75" customHeight="1" x14ac:dyDescent="0.25"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6:25" ht="15.75" customHeight="1" x14ac:dyDescent="0.25"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6:25" ht="15.75" customHeight="1" x14ac:dyDescent="0.25"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6:25" ht="15.75" customHeight="1" x14ac:dyDescent="0.25"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6:25" ht="15.75" customHeight="1" x14ac:dyDescent="0.25"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6:25" ht="15.75" customHeight="1" x14ac:dyDescent="0.25"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6:25" ht="15.75" customHeight="1" x14ac:dyDescent="0.25"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6:25" ht="15.75" customHeight="1" x14ac:dyDescent="0.25"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6:25" ht="15.75" customHeight="1" x14ac:dyDescent="0.25"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6:25" ht="15.75" customHeight="1" x14ac:dyDescent="0.25"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6:25" ht="15.75" customHeight="1" x14ac:dyDescent="0.25"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6:25" ht="15.75" customHeight="1" x14ac:dyDescent="0.25"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6:25" ht="15.75" customHeight="1" x14ac:dyDescent="0.25"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6:25" ht="15.75" customHeight="1" x14ac:dyDescent="0.25"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6:25" ht="15.75" customHeight="1" x14ac:dyDescent="0.25"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6:25" ht="15.75" customHeight="1" x14ac:dyDescent="0.25"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6:25" ht="15.75" customHeight="1" x14ac:dyDescent="0.25"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6:25" ht="15.75" customHeight="1" x14ac:dyDescent="0.25"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6:25" ht="15.75" customHeight="1" x14ac:dyDescent="0.25"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6:25" ht="15.75" customHeight="1" x14ac:dyDescent="0.25"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6:25" ht="15.75" customHeight="1" x14ac:dyDescent="0.25"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6:25" ht="15.75" customHeight="1" x14ac:dyDescent="0.25"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6:25" ht="15.75" customHeight="1" x14ac:dyDescent="0.25"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6:25" ht="15.75" customHeight="1" x14ac:dyDescent="0.25"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6:25" ht="15.75" customHeight="1" x14ac:dyDescent="0.25"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6:25" ht="15.75" customHeight="1" x14ac:dyDescent="0.25"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6:25" ht="15.75" customHeight="1" x14ac:dyDescent="0.25"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6:25" ht="15.75" customHeight="1" x14ac:dyDescent="0.25"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6:25" ht="15.75" customHeight="1" x14ac:dyDescent="0.25"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6:25" ht="15.75" customHeight="1" x14ac:dyDescent="0.25"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6:25" ht="15.75" customHeight="1" x14ac:dyDescent="0.25"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6:25" ht="15.75" customHeight="1" x14ac:dyDescent="0.25"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6:25" ht="15.75" customHeight="1" x14ac:dyDescent="0.25"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6:25" ht="15.75" customHeight="1" x14ac:dyDescent="0.25"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6:25" ht="15.75" customHeight="1" x14ac:dyDescent="0.25"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6:25" ht="15.75" customHeight="1" x14ac:dyDescent="0.25"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6:25" ht="15.75" customHeight="1" x14ac:dyDescent="0.25"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6:25" ht="15.75" customHeight="1" x14ac:dyDescent="0.25"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6:25" ht="15.75" customHeight="1" x14ac:dyDescent="0.25"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6:25" ht="15.75" customHeight="1" x14ac:dyDescent="0.25"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spans="16:25" ht="15.75" customHeight="1" x14ac:dyDescent="0.25"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spans="16:25" ht="15.75" customHeight="1" x14ac:dyDescent="0.25"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spans="16:25" ht="15.75" customHeight="1" x14ac:dyDescent="0.25"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  <row r="989" spans="16:25" ht="15.75" customHeight="1" x14ac:dyDescent="0.25">
      <c r="P989" s="13"/>
      <c r="Q989" s="13"/>
      <c r="R989" s="13"/>
      <c r="S989" s="13"/>
      <c r="T989" s="13"/>
      <c r="U989" s="13"/>
      <c r="V989" s="13"/>
      <c r="W989" s="13"/>
      <c r="X989" s="13"/>
      <c r="Y989" s="13"/>
    </row>
    <row r="990" spans="16:25" ht="15.75" customHeight="1" x14ac:dyDescent="0.25">
      <c r="P990" s="13"/>
      <c r="Q990" s="13"/>
      <c r="R990" s="13"/>
      <c r="S990" s="13"/>
      <c r="T990" s="13"/>
      <c r="U990" s="13"/>
      <c r="V990" s="13"/>
      <c r="W990" s="13"/>
      <c r="X990" s="13"/>
      <c r="Y990" s="13"/>
    </row>
    <row r="991" spans="16:25" ht="15.75" customHeight="1" x14ac:dyDescent="0.25">
      <c r="P991" s="13"/>
      <c r="Q991" s="13"/>
      <c r="R991" s="13"/>
      <c r="S991" s="13"/>
      <c r="T991" s="13"/>
      <c r="U991" s="13"/>
      <c r="V991" s="13"/>
      <c r="W991" s="13"/>
      <c r="X991" s="13"/>
      <c r="Y991" s="13"/>
    </row>
  </sheetData>
  <autoFilter ref="A1:P313" xr:uid="{00000000-0009-0000-0000-000002000000}"/>
  <phoneticPr fontId="7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Z985"/>
  <sheetViews>
    <sheetView workbookViewId="0">
      <selection activeCell="D10" sqref="D10"/>
    </sheetView>
  </sheetViews>
  <sheetFormatPr baseColWidth="10" defaultColWidth="14.42578125" defaultRowHeight="15" customHeight="1" x14ac:dyDescent="0.25"/>
  <cols>
    <col min="1" max="2" width="11.5703125" style="26" customWidth="1"/>
    <col min="3" max="3" width="16.140625" style="26" customWidth="1"/>
    <col min="4" max="4" width="12" style="26" customWidth="1"/>
    <col min="5" max="5" width="4.85546875" style="26" hidden="1" customWidth="1"/>
    <col min="6" max="6" width="10.5703125" style="26" customWidth="1"/>
    <col min="7" max="11" width="10.7109375" style="26" customWidth="1"/>
    <col min="12" max="12" width="5.42578125" style="26" customWidth="1"/>
    <col min="13" max="26" width="10.7109375" style="26" customWidth="1"/>
    <col min="27" max="16384" width="14.42578125" style="26"/>
  </cols>
  <sheetData>
    <row r="4" spans="1:26" ht="14.2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W4" s="1"/>
    </row>
    <row r="5" spans="1:26" ht="14.25" customHeight="1" x14ac:dyDescent="0.25">
      <c r="A5" s="1"/>
      <c r="B5" s="21"/>
      <c r="C5" s="21"/>
      <c r="D5" s="2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Z5" s="1"/>
    </row>
    <row r="6" spans="1:26" ht="14.25" customHeight="1" x14ac:dyDescent="0.25">
      <c r="A6" s="1"/>
      <c r="B6" s="21"/>
      <c r="C6" s="21"/>
      <c r="D6" s="2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Z6" s="1"/>
    </row>
    <row r="7" spans="1:26" ht="14.25" customHeight="1" x14ac:dyDescent="0.25">
      <c r="A7" s="1"/>
      <c r="B7" s="21"/>
      <c r="C7" s="21"/>
      <c r="D7" s="2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Z7" s="1"/>
    </row>
    <row r="8" spans="1:26" ht="14.25" customHeight="1" x14ac:dyDescent="0.4">
      <c r="A8" s="1"/>
      <c r="B8" s="1"/>
      <c r="C8" s="1"/>
      <c r="D8" s="21"/>
      <c r="E8" s="21"/>
      <c r="F8" s="21"/>
      <c r="G8" s="1"/>
      <c r="H8" s="1"/>
      <c r="I8" s="1"/>
      <c r="J8" s="1"/>
      <c r="K8" s="1"/>
      <c r="L8" s="1"/>
      <c r="M8" s="1"/>
      <c r="N8" s="1"/>
      <c r="O8" s="1"/>
      <c r="P8" s="27"/>
      <c r="Q8" s="1"/>
      <c r="R8" s="1"/>
      <c r="Z8" s="1"/>
    </row>
    <row r="9" spans="1:26" ht="14.25" customHeight="1" x14ac:dyDescent="0.4">
      <c r="A9" s="1"/>
      <c r="B9" s="54" t="s">
        <v>24</v>
      </c>
      <c r="C9" s="23" t="s">
        <v>4</v>
      </c>
      <c r="D9" s="32">
        <f>COUNTIF('Plan de prueba'!M2:M323,Control!C9)</f>
        <v>59</v>
      </c>
      <c r="E9" s="30"/>
      <c r="F9" s="30"/>
      <c r="G9" s="1"/>
      <c r="H9" s="1"/>
      <c r="I9" s="1"/>
      <c r="J9" s="1"/>
      <c r="K9" s="1"/>
      <c r="L9" s="1"/>
      <c r="M9" s="1"/>
      <c r="N9" s="1"/>
      <c r="O9" s="1"/>
      <c r="P9" s="27"/>
      <c r="Q9" s="1"/>
      <c r="R9" s="1"/>
      <c r="Z9" s="1"/>
    </row>
    <row r="10" spans="1:26" ht="14.25" customHeight="1" x14ac:dyDescent="0.25">
      <c r="A10" s="1"/>
      <c r="B10" s="55"/>
      <c r="C10" s="23" t="s">
        <v>3</v>
      </c>
      <c r="D10" s="32">
        <f>COUNTIF('Plan de prueba'!M2:M323,Control!C10)</f>
        <v>14</v>
      </c>
      <c r="E10" s="30"/>
      <c r="F10" s="30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Z10" s="1"/>
    </row>
    <row r="11" spans="1:26" ht="14.25" customHeight="1" x14ac:dyDescent="0.25">
      <c r="A11" s="1"/>
      <c r="B11" s="55"/>
      <c r="C11" s="23" t="s">
        <v>22</v>
      </c>
      <c r="D11" s="32">
        <f>COUNTIF('Plan de prueba'!M2:M323,C11)</f>
        <v>0</v>
      </c>
      <c r="E11" s="30"/>
      <c r="F11" s="3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Z11" s="1"/>
    </row>
    <row r="12" spans="1:26" ht="14.25" customHeight="1" x14ac:dyDescent="0.4">
      <c r="A12" s="1"/>
      <c r="B12" s="55"/>
      <c r="C12" s="23" t="s">
        <v>2</v>
      </c>
      <c r="D12" s="32">
        <f>COUNTIF('Plan de prueba'!M2:M323,C12)</f>
        <v>0</v>
      </c>
      <c r="E12" s="30"/>
      <c r="F12" s="30"/>
      <c r="G12" s="1"/>
      <c r="H12" s="1"/>
      <c r="I12" s="1"/>
      <c r="J12" s="1"/>
      <c r="K12" s="1"/>
      <c r="L12" s="1"/>
      <c r="M12" s="1"/>
      <c r="N12" s="1"/>
      <c r="O12" s="27"/>
      <c r="P12" s="1"/>
      <c r="Q12" s="1"/>
      <c r="R12" s="1"/>
      <c r="Z12" s="1"/>
    </row>
    <row r="13" spans="1:26" ht="14.25" customHeight="1" x14ac:dyDescent="0.25">
      <c r="A13" s="1"/>
      <c r="B13" s="56"/>
      <c r="C13" s="23" t="s">
        <v>25</v>
      </c>
      <c r="D13" s="32">
        <f>COUNTIF('Plan de prueba'!M2:M323,C13)</f>
        <v>0</v>
      </c>
      <c r="E13" s="30"/>
      <c r="F13" s="3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Z13" s="1"/>
    </row>
    <row r="14" spans="1:26" ht="14.25" customHeight="1" x14ac:dyDescent="0.25">
      <c r="A14" s="1"/>
      <c r="B14" s="22"/>
      <c r="C14" s="22"/>
      <c r="D14" s="30"/>
      <c r="E14" s="31"/>
      <c r="F14" s="3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Z14" s="1"/>
    </row>
    <row r="15" spans="1:26" ht="14.25" customHeight="1" x14ac:dyDescent="0.25">
      <c r="A15" s="1"/>
      <c r="B15" s="57"/>
      <c r="C15" s="58"/>
      <c r="D15" s="2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Z15" s="1"/>
    </row>
    <row r="16" spans="1:26" ht="14.25" customHeight="1" x14ac:dyDescent="0.25">
      <c r="A16" s="1"/>
      <c r="B16" s="59" t="s">
        <v>26</v>
      </c>
      <c r="C16" s="60"/>
      <c r="D16" s="29">
        <f>COUNTIF('Plan de prueba'!A2:A223,"*")</f>
        <v>73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Z16" s="1"/>
    </row>
    <row r="17" spans="1:26" ht="14.25" customHeight="1" x14ac:dyDescent="0.25">
      <c r="A17" s="1"/>
      <c r="B17" s="61" t="s">
        <v>27</v>
      </c>
      <c r="C17" s="62"/>
      <c r="D17" s="65">
        <f>SUM(D9+D10+D12+D13)/D16</f>
        <v>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Z17" s="1"/>
    </row>
    <row r="18" spans="1:26" ht="14.25" customHeight="1" x14ac:dyDescent="0.25">
      <c r="A18" s="1"/>
      <c r="B18" s="63"/>
      <c r="C18" s="64"/>
      <c r="D18" s="56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Z18" s="1"/>
    </row>
    <row r="19" spans="1:26" ht="14.25" customHeight="1" x14ac:dyDescent="0.25">
      <c r="A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66" t="s">
        <v>28</v>
      </c>
      <c r="C21" s="67"/>
      <c r="D21" s="74" t="s">
        <v>50</v>
      </c>
      <c r="E21" s="44"/>
      <c r="F21" s="77">
        <f>COUNTIF('Plan de prueba'!$O$2:$O$74,D21)</f>
        <v>73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6" ht="14.25" customHeight="1" x14ac:dyDescent="0.25">
      <c r="A22" s="1"/>
      <c r="B22" s="68"/>
      <c r="C22" s="69"/>
      <c r="D22" s="75"/>
      <c r="E22" s="44"/>
      <c r="F22" s="78"/>
      <c r="G22" s="25"/>
      <c r="H22" s="25"/>
      <c r="I22" s="25"/>
      <c r="J22" s="25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6" ht="14.25" customHeight="1" x14ac:dyDescent="0.25">
      <c r="A23" s="1"/>
      <c r="B23" s="68"/>
      <c r="C23" s="69"/>
      <c r="D23" s="75"/>
      <c r="E23" s="44"/>
      <c r="F23" s="78"/>
      <c r="G23" s="25"/>
      <c r="H23" s="25"/>
      <c r="I23" s="25"/>
      <c r="J23" s="2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6" ht="14.25" customHeight="1" x14ac:dyDescent="0.25">
      <c r="A24" s="1"/>
      <c r="B24" s="70"/>
      <c r="C24" s="71"/>
      <c r="D24" s="76"/>
      <c r="E24" s="44"/>
      <c r="F24" s="79"/>
      <c r="G24" s="25"/>
      <c r="H24" s="25"/>
      <c r="I24" s="25"/>
      <c r="J24" s="25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6" ht="14.25" customHeight="1" x14ac:dyDescent="0.25">
      <c r="A25" s="1"/>
      <c r="B25" s="1"/>
      <c r="C25" s="1"/>
      <c r="D25" s="1"/>
      <c r="H25" s="25"/>
      <c r="I25" s="25"/>
      <c r="J25" s="25"/>
      <c r="K25" s="2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31"/>
      <c r="D26" s="72" t="s">
        <v>29</v>
      </c>
      <c r="E26" s="73"/>
      <c r="F26" s="33">
        <f>SUM(F21:F24)</f>
        <v>73</v>
      </c>
      <c r="H26" s="25"/>
      <c r="I26" s="25"/>
      <c r="J26" s="25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25"/>
      <c r="I27" s="25"/>
      <c r="J27" s="25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3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/>
    <row r="228" spans="1:26" ht="15.75" customHeight="1" x14ac:dyDescent="0.25"/>
    <row r="229" spans="1:26" ht="15.75" customHeight="1" x14ac:dyDescent="0.25"/>
    <row r="230" spans="1:26" ht="15.75" customHeight="1" x14ac:dyDescent="0.25"/>
    <row r="231" spans="1:26" ht="15.75" customHeight="1" x14ac:dyDescent="0.25"/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mergeCells count="9">
    <mergeCell ref="B21:C24"/>
    <mergeCell ref="D26:E26"/>
    <mergeCell ref="D21:D24"/>
    <mergeCell ref="F21:F24"/>
    <mergeCell ref="B9:B13"/>
    <mergeCell ref="B15:C15"/>
    <mergeCell ref="B16:C16"/>
    <mergeCell ref="B17:C18"/>
    <mergeCell ref="D17:D18"/>
  </mergeCells>
  <pageMargins left="0.7" right="0.7" top="0.75" bottom="0.75" header="0" footer="0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3"/>
  <sheetViews>
    <sheetView workbookViewId="0">
      <selection activeCell="D26" sqref="D26"/>
    </sheetView>
  </sheetViews>
  <sheetFormatPr baseColWidth="10" defaultColWidth="14.42578125" defaultRowHeight="15" customHeight="1" x14ac:dyDescent="0.25"/>
  <sheetData>
    <row r="1" spans="1:8" x14ac:dyDescent="0.25">
      <c r="A1" s="10" t="s">
        <v>19</v>
      </c>
      <c r="B1" s="10" t="s">
        <v>20</v>
      </c>
    </row>
    <row r="2" spans="1:8" x14ac:dyDescent="0.25">
      <c r="A2" s="10" t="s">
        <v>30</v>
      </c>
      <c r="B2" s="10" t="s">
        <v>21</v>
      </c>
    </row>
    <row r="3" spans="1:8" x14ac:dyDescent="0.25">
      <c r="A3" s="10" t="s">
        <v>31</v>
      </c>
      <c r="B3" s="10" t="s">
        <v>32</v>
      </c>
    </row>
    <row r="9" spans="1:8" x14ac:dyDescent="0.25">
      <c r="F9" s="10"/>
      <c r="H9" s="10"/>
    </row>
    <row r="10" spans="1:8" x14ac:dyDescent="0.25">
      <c r="F10" s="10"/>
      <c r="H10" s="10"/>
    </row>
    <row r="11" spans="1:8" x14ac:dyDescent="0.25">
      <c r="F11" s="10"/>
      <c r="H11" s="10"/>
    </row>
    <row r="12" spans="1:8" x14ac:dyDescent="0.25">
      <c r="F12" s="10"/>
      <c r="H12" s="10"/>
    </row>
    <row r="13" spans="1:8" x14ac:dyDescent="0.25">
      <c r="F13" s="10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baseColWidth="10" defaultColWidth="14.42578125" defaultRowHeight="15" customHeight="1" x14ac:dyDescent="0.25"/>
  <cols>
    <col min="1" max="1" width="12.28515625" customWidth="1"/>
    <col min="2" max="2" width="12.42578125" customWidth="1"/>
    <col min="3" max="3" width="6.28515625" customWidth="1"/>
    <col min="4" max="6" width="10.7109375" customWidth="1"/>
  </cols>
  <sheetData>
    <row r="1" spans="1:4" ht="14.25" customHeight="1" x14ac:dyDescent="0.25">
      <c r="A1" s="10" t="s">
        <v>19</v>
      </c>
      <c r="B1" s="10" t="s">
        <v>4</v>
      </c>
      <c r="C1" s="10" t="s">
        <v>33</v>
      </c>
      <c r="D1" s="10" t="s">
        <v>7</v>
      </c>
    </row>
    <row r="2" spans="1:4" ht="14.25" customHeight="1" x14ac:dyDescent="0.25">
      <c r="A2" s="10" t="s">
        <v>30</v>
      </c>
      <c r="B2" s="10" t="s">
        <v>3</v>
      </c>
      <c r="C2" s="10" t="s">
        <v>34</v>
      </c>
      <c r="D2" s="10" t="s">
        <v>6</v>
      </c>
    </row>
    <row r="3" spans="1:4" ht="14.25" customHeight="1" x14ac:dyDescent="0.25">
      <c r="A3" s="10" t="s">
        <v>35</v>
      </c>
      <c r="B3" s="10" t="s">
        <v>22</v>
      </c>
      <c r="C3" s="10" t="s">
        <v>36</v>
      </c>
    </row>
    <row r="4" spans="1:4" ht="14.25" customHeight="1" x14ac:dyDescent="0.25">
      <c r="A4" s="10" t="s">
        <v>37</v>
      </c>
      <c r="B4" s="10" t="s">
        <v>2</v>
      </c>
    </row>
    <row r="5" spans="1:4" ht="14.25" customHeight="1" x14ac:dyDescent="0.25">
      <c r="A5" s="10" t="s">
        <v>23</v>
      </c>
      <c r="B5" s="10" t="s">
        <v>25</v>
      </c>
    </row>
    <row r="6" spans="1:4" ht="14.25" customHeight="1" x14ac:dyDescent="0.25">
      <c r="A6" s="10" t="s">
        <v>38</v>
      </c>
    </row>
    <row r="7" spans="1:4" ht="14.25" customHeight="1" x14ac:dyDescent="0.25">
      <c r="A7" s="10" t="s">
        <v>39</v>
      </c>
    </row>
    <row r="8" spans="1:4" ht="14.25" customHeight="1" x14ac:dyDescent="0.25">
      <c r="A8" s="10" t="s">
        <v>40</v>
      </c>
    </row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Portada</vt:lpstr>
      <vt:lpstr>Plan de prueba</vt:lpstr>
      <vt:lpstr>Control</vt:lpstr>
      <vt:lpstr>Datos</vt:lpstr>
      <vt:lpstr>Datos del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Guzman Bozo, Jorge</dc:creator>
  <cp:lastModifiedBy>DANIEL . REYES HENRIQUEZ</cp:lastModifiedBy>
  <dcterms:created xsi:type="dcterms:W3CDTF">2022-11-12T13:19:55Z</dcterms:created>
  <dcterms:modified xsi:type="dcterms:W3CDTF">2025-11-21T02:12:15Z</dcterms:modified>
</cp:coreProperties>
</file>